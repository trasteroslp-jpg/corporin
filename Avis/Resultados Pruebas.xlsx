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internas fase test" sheetId="1" r:id="rId5"/>
    <sheet state="visible" name="Resultados Live" sheetId="2" r:id="rId6"/>
    <sheet state="visible" name="Resultados Live 2.0" sheetId="3" r:id="rId7"/>
    <sheet state="visible" name="Resultados Live 3.0" sheetId="4" r:id="rId8"/>
    <sheet state="visible" name="Resumen" sheetId="5" r:id="rId9"/>
    <sheet state="visible" name="Casos Mal (3.0)" sheetId="6" r:id="rId10"/>
    <sheet state="visible" name="Propuestas Mejora" sheetId="7" r:id="rId11"/>
    <sheet state="visible" name="Otras mejoras deseables" sheetId="8" r:id="rId12"/>
  </sheets>
  <definedNames>
    <definedName hidden="1" localSheetId="0" name="_xlnm._FilterDatabase">'Pruebas internas fase test'!$A$1:$H$15</definedName>
    <definedName hidden="1" localSheetId="1" name="_xlnm._FilterDatabase">'Resultados Live'!$A$1:$H$1001</definedName>
    <definedName hidden="1" localSheetId="2" name="_xlnm._FilterDatabase">'Resultados Live 2.0'!$A$1:$H$1001</definedName>
    <definedName hidden="1" localSheetId="3" name="_xlnm._FilterDatabase">'Resultados Live 3.0'!$A$1:$H$1001</definedName>
    <definedName hidden="1" localSheetId="6" name="_xlnm._FilterDatabase">'Propuestas Mejora'!$A$1:$I$1000</definedName>
  </definedNames>
  <calcPr/>
  <pivotCaches>
    <pivotCache cacheId="0" r:id="rId13"/>
    <pivotCache cacheId="1" r:id="rId14"/>
    <pivotCache cacheId="2" r:id="rId1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Mide el porcentaje de interacciones que el chatbot resuelve completamente sin necesidad de transferir a un agente humano.</t>
      </text>
    </comment>
    <comment authorId="0" ref="F1">
      <text>
        <t xml:space="preserve">Mide la proporción de problemas o consultas que se resuelven completamente en la primera interacción con el chatbot.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Mide el porcentaje de interacciones que el chatbot resuelve completamente sin necesidad de transferir a un agente humano.</t>
      </text>
    </comment>
    <comment authorId="0" ref="F1">
      <text>
        <t xml:space="preserve">Mide la proporción de problemas o consultas que se resuelven completamente en la primera interacción con el chatbot.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Mide el porcentaje de interacciones que el chatbot resuelve completamente sin necesidad de transferir a un agente humano.</t>
      </text>
    </comment>
    <comment authorId="0" ref="F1">
      <text>
        <t xml:space="preserve">Mide la proporción de problemas o consultas que se resuelven completamente en la primera interacción con el chatbot.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Mide la proporción de problemas o consultas que se resuelven completamente en la primera interacción con el chatbot.</t>
      </text>
    </comment>
    <comment authorId="0" ref="H6">
      <text>
        <t xml:space="preserve">Indica con qué frecuencia el chatbot entiende correctamente la intención del usuario y proporciona una respuesta apropiada.</t>
      </text>
    </comment>
    <comment authorId="0" ref="H7">
      <text>
        <t xml:space="preserve">Mide el porcentaje de interacciones que el chatbot resuelve completamente sin necesidad de transferir a un agente humano.</t>
      </text>
    </comment>
    <comment authorId="0" ref="H27">
      <text>
        <t xml:space="preserve">Mide la proporción de problemas o consultas que se resuelven completamente en la primera interacción con el chatbot.</t>
      </text>
    </comment>
    <comment authorId="0" ref="H28">
      <text>
        <t xml:space="preserve">Indica con qué frecuencia el chatbot entiende correctamente la intención del usuario y proporciona una respuesta apropiada.</t>
      </text>
    </comment>
    <comment authorId="0" ref="H29">
      <text>
        <t xml:space="preserve">Mide el porcentaje de interacciones que el chatbot resuelve completamente sin necesidad de transferir a un agente humano.</t>
      </text>
    </comment>
  </commentList>
</comments>
</file>

<file path=xl/sharedStrings.xml><?xml version="1.0" encoding="utf-8"?>
<sst xmlns="http://schemas.openxmlformats.org/spreadsheetml/2006/main" count="1299" uniqueCount="442">
  <si>
    <t>Teléfono cliente</t>
  </si>
  <si>
    <t>Nombre</t>
  </si>
  <si>
    <t>Tipo de acción</t>
  </si>
  <si>
    <t>Resultado Esperado</t>
  </si>
  <si>
    <t>Resultado obtenido</t>
  </si>
  <si>
    <t>Conversación con el Agente</t>
  </si>
  <si>
    <t>Número fila incidencia</t>
  </si>
  <si>
    <t>Comentarios</t>
  </si>
  <si>
    <t>630 849 333</t>
  </si>
  <si>
    <t>David</t>
  </si>
  <si>
    <t>Consulta</t>
  </si>
  <si>
    <t>Lamento informarte que mi asistencia se limita a consultas e incidencias relacionadas con los servicios de alquiler de vehículos de AVIS Corporate en Canarias. Para información sobre el parking del aeropuerto de "X", te recomiendo consultar directamente con el aeropuerto o su página web oficial. ¿Puedo ayudarte con alguna otra consulta o incidencia sobre nuestros servicios?</t>
  </si>
  <si>
    <t>"Puedes alquilar un coche muy cerca del aeropuerto de Barcelona, ya que Avis tiene oficina en la propia terminal. Al hacer tu reserva, solo tienes que seleccionar ""Aeropuerto de Barcelona"" como punto de recogida, y allí podrás recoger el vehículo directamente tras aterrizar.
Tienes disponibles diferentes categorías de coches, como compactos, berlinas, SUV y monovolúmenes. La selección concreta depende de la disponibilidad, pero siempre puedes elegir la categoría que más te convenga.
Recuerda que para alquilar necesitas ser mayor de 21 años y tener al menos un año de antigüedad con tu carnet de conducir. Debes presentar una tarjeta de crédito a tu nombre para completar el alquiler.
¿Necesitas que te ayude con algo mas?"</t>
  </si>
  <si>
    <t>Me gustaría alquilar un coche cerca del aeropuerto de Barcelona</t>
  </si>
  <si>
    <t>No mostrar ubicaciones (o información) no contemplada en la BBDD. 
No tenemos compactos, berlinas, SUV y monovolumen (De que fuente sale?)</t>
  </si>
  <si>
    <t>NO (En plan bonito)</t>
  </si>
  <si>
    <t>La devolución del coche solo puede hacerse en las oficinas de Avis o en los aparcamientos autorizados, no en talleres. Si necesitas dejar el vehículo en otra oficina dentro de la ciudad de Las Palmas de Gran Canaria, es posible y puedes seleccionarlo al hacer tu reserva.
¿Necesitas que te ayude con algo mas?</t>
  </si>
  <si>
    <t>Puedo recoger un coche en aeropuerto Gran Canaria y entregarlo en la Ciudad en un taller?</t>
  </si>
  <si>
    <t>Todas las devoluciones deben realizarse en la misma ubicación de salida.
Los talleres son puntos autorizados, siempre y cuando estén registrados.</t>
  </si>
  <si>
    <t>Puedes solicitar equipamiento especial como GPS y asientos para niños al hacer la reserva del vehículo. Es importante seleccionar estos extras durante la reserva, ya que no es posible añadirlos en el momento de recoger el coche.
Estos servicios tienen un coste adicional, que se muestra antes de finalizar tu pedido. Así te aseguras de que el vehículo vaya equipado según tus necesidades familiares y de trabajo.
¿Necesitas que te ayude con algo mas?</t>
  </si>
  <si>
    <t>Necesitamos vehículos con equipamiento especial, como GPS y asientos para niños para un viaje de negocios familiar. ¿Es posible solicitar esto?</t>
  </si>
  <si>
    <t>El único extra que se puede comprar es el Seguro Plus. No se pueden comprar GPS ni asientos de niños</t>
  </si>
  <si>
    <t>Redirigir a la App. Nuestra web es meramente informativa</t>
  </si>
  <si>
    <t>En la web puedes gestionar varias acciones relacionadas con tu reserva, como:
- Consultar todos los detalles de tu reserva activa
- Modificar fechas y horas de recogida o devolución (según disponibilidad)
- Ampliar el periodo de alquiler hasta una hora antes de la devolución prevista
- Cancelar la reserva si cambias de planes antes del inicio
- Añadir servicios extra (como GPS o sillas infantiles) durante el proceso de reserva
- Descargar tu factura o justificante de pago desde el historial de alquileres
También puedes actualizar tus datos personales y ver el historial completo de reservas. Todo lo gestionas de forma sencilla desde tu área personal en la web.
¿Necesitas que te ayude con algo mas?</t>
  </si>
  <si>
    <t>¿Qué acciones puedo hacer en la web sobre mi reserva?</t>
  </si>
  <si>
    <t>En varias ocasiones se da a entender que desde la "WEB" se pueden gestionar determinadas acciones de la reserva. Es importante que el BOT siempre diriga a la App para cualquier cambio en su reserva, consulta de disponibilidad, etc.</t>
  </si>
  <si>
    <t>En caso de no tener información al respecto, decir que no se dispone de dicha información pero se enviará consulta.</t>
  </si>
  <si>
    <t>Para empresas que realizan un alto volumen de alquileres, puedes acceder a la figura de gestor de cuentas. Este gestor facilita la atención personalizada, agiliza la resolución de necesidades corporativas y ayuda a gestionar flotas de forma centralizada.
Si tu empresa opera con ese volumen de alquiler, tendrás un trato prioritario y asistencia directa para todo lo relacionado con reservas, facturación y gestión de incidencias.
¿Necesitas que te ayude con algo mas?</t>
  </si>
  <si>
    <t>¿Existe algún contacto directo o gestor de cuentas asignado a clientes corporativos de alto volumen?</t>
  </si>
  <si>
    <t>Esto es incorrecto, no existe dicha figura.</t>
  </si>
  <si>
    <t>Incidencia</t>
  </si>
  <si>
    <t>Pedir DNI</t>
  </si>
  <si>
    <t>El procedimiento correcto para tu caso urgente es contactar con la asistencia en carretera cuanto antes. Por favor, llama al 900 112 222 de RACE asistencia en carretera para que un profesional te ayude de inmediato.
He registrado la incidencia urgentemente en nuestro sistema. Si necesitas algo más, estoy aquí para ayudarte. ¿Te puedo ayudar con algo más relacionado con tu emergencia?
Después, tras la pregunta "¿Qué debo hacer?", dice
Lo más importante es que te alejes del coche para garantizar tu seguridad y llames lo antes posible al teléfono de asistencia en carretera 900 112 222 (RACE). Ellos enviarán ayuda inmediata y te indicarán los siguientes pasos.
Si necesitas cualquier otra cosa urgente, dímelo y te sigo ayudando. ¿Estás bien? ¿Hay algo más en lo que pueda ayudarte ahora?</t>
  </si>
  <si>
    <t>El coche está ardiendo</t>
  </si>
  <si>
    <t>50 - 53</t>
  </si>
  <si>
    <t>Este caso está OK, si bien no solicita la matrícula al cliente a la hora de enviar el correo, con lo que no podemos identificar el origen de la incidencia.
Tambén quitaríamos "El procedimiento correcto".</t>
  </si>
  <si>
    <r>
      <rPr>
        <rFont val="Montserrat"/>
        <b/>
        <color rgb="FFFF0000"/>
        <sz val="7.0"/>
      </rPr>
      <t>Sentimos mucho las molestias.</t>
    </r>
    <r>
      <rPr>
        <rFont val="Montserrat"/>
        <b/>
        <color rgb="FF000000"/>
        <sz val="7.0"/>
      </rPr>
      <t xml:space="preserve"> La pantalla muestra "vehículo no disponible" porque tu reserva no se puede entregar en este momento. Por favor, </t>
    </r>
    <r>
      <rPr>
        <rFont val="Montserrat"/>
        <b/>
        <color rgb="FFFF0000"/>
        <sz val="7.0"/>
      </rPr>
      <t>cancela tu reserva actual</t>
    </r>
    <r>
      <rPr>
        <rFont val="Montserrat"/>
        <b/>
        <color rgb="FF000000"/>
        <sz val="7.0"/>
      </rPr>
      <t xml:space="preserve"> y genera una nueva reserva para conseguir otro coche. </t>
    </r>
    <r>
      <rPr>
        <rFont val="Montserrat"/>
        <b/>
        <color rgb="FFFF0000"/>
        <sz val="7.0"/>
      </rPr>
      <t>Nos aseguraremos de devolverte el importe cobrado de  tu primera reserva no disfrutada</t>
    </r>
    <r>
      <rPr>
        <rFont val="Montserrat"/>
        <b/>
        <color rgb="FF000000"/>
        <sz val="7.0"/>
      </rPr>
      <t xml:space="preserve">. Si quieres reclamar lo sucedido, puedes escribir a </t>
    </r>
    <r>
      <rPr>
        <rFont val="Montserrat"/>
        <b/>
        <color rgb="FFFF0000"/>
        <sz val="7.0"/>
      </rPr>
      <t>atencion.alcliente@avis.es.</t>
    </r>
    <r>
      <rPr>
        <rFont val="Montserrat"/>
        <b/>
        <color rgb="FF000000"/>
        <sz val="7.0"/>
      </rPr>
      <t xml:space="preserve">
¿Hay algo más en lo que te pueda ayudar?</t>
    </r>
  </si>
  <si>
    <t>La pantalla muestra "vehículo no disponible" porque tu reserva no se puede entregar en este momento. Por favor, genera una nueva reserva para conseguir otro coche. Si quieres reclamar lo sucedido, puedes escribir a atencion.alcliente@avis.es.
¿Hay algo más en lo que te pueda ayudar?</t>
  </si>
  <si>
    <t>ayer pude alquilar el coche y he generado una reserva. Esta mañana he ido al parking del aeropuerto y me salta un error en la pantalla</t>
  </si>
  <si>
    <t>56 - 61</t>
  </si>
  <si>
    <t>Identificación OK
Escalado MAL, no deriva a atención telefónica dentro de horario y no muestra correo correcto. "corporate@aviscanarias.es"
No genera e-mail</t>
  </si>
  <si>
    <t>"Actualmente, tengo identificadas estas situaciones frecuentes al intentar abrir el coche desde la app:
1. "Aparece un mensaje de error a la hora de comenzar el viaje que pone "Vehículo no disponible"
2. No aparece la llave digital (Ideal poner foto) - Menú donde aparece el botón "Abrir" / "Cerrar" / "Finalizar"
3. El botón de abrir o cerrar se queda en cargando
4. Veo la pantalla de color verde
¿Cuál de estas opciones describe mejor el problema que tienes ahora mismo? Así podré ayudarte con la solución más rápida y específica."</t>
  </si>
  <si>
    <t>"Actualmente, tengo identificadas estas situaciones frecuentes al intentar abrir el coche desde la app:
1. Vehículo no disponible
2. No aparece la llave digital
3. El botón de abrir/cerrar se queda en carga
4. Pantalla verde
5. Permisos App
¿Cuál de estas opciones describe mejor el problema que tienes ahora mismo? Así podré ayudarte con la solución más rápida y específica."</t>
  </si>
  <si>
    <t>Gracias, ya pude abrir el coche y viajar hasta mi casa. Lo metí en el parking y ahora no me sale el botón de abrir</t>
  </si>
  <si>
    <t>Está OK, simplemente modificar el menú</t>
  </si>
  <si>
    <t>Tu incidencia ha sido registrada. Ponemos en contacto a nuestro equipo para que puedan gestionar la incidencia con la mayor brevedad posible
¿Necesitas ayuda con algo más relacionado con tu alquiler?</t>
  </si>
  <si>
    <t>Tu incidencia ha sido registrada. Para solucionar el problema con el limpiaparabrisas, por favor, llama al 900 112 222 (RACE asistencia en carretera). Ellos te atenderán de inmediato.
¿Necesitas ayuda con algo más relacionado con tu alquiler?</t>
  </si>
  <si>
    <t>Al coche le falta limpiaparabrisas</t>
  </si>
  <si>
    <t>77 - 79</t>
  </si>
  <si>
    <t>OK enviar informe 
NOK contacto de RACE. Race solo se propone en caso de que el vehículo no pueda seguir circulando</t>
  </si>
  <si>
    <t>Info extra adjunta</t>
  </si>
  <si>
    <t>"Puedes adelantar la recogida de tu reserva siempre que haya disponibilidad para la nueva hora que elijas. Solo tienes que modificar la fecha y hora de recogida directamente desde la web o la app, en la sección de gestión de reservas.
El cambio está sujeto a que haya un coche disponible antes de lo previsto. Si aparecen problemas para adelantar la recogida, avísame para ayudarte con el proceso o buscarte una solución alternativa.
¿Necesitas que te ayude con algo mas?"</t>
  </si>
  <si>
    <t>Quiero adelantar la recogida de mi reserva. ¿Se puede?</t>
  </si>
  <si>
    <t>Se añade info extra sobre este punto</t>
  </si>
  <si>
    <t>Ajusar respuesta</t>
  </si>
  <si>
    <t>Actualmente, al no poder ver tu reserva en la app aunque la tuvieras prevista para las 9:00, esto suele estar relacionado con incidencias como "reserva desaparecida" o "el coche no aparece".
Por favor, revisa en el mapa de tu aplicación si puedes localizar el vehículo asignado para tu reserva de hoy. A veces la ubicación puede variar dentro del parking y aparece en el mapa de la app.
Cuéntame si sigues sin verlo o si la reserva sigue sin aparecer para ayudarte rápidamente con el siguiente paso.</t>
  </si>
  <si>
    <t>Tenía la reserva a las 9:00 pero ahora entro en la aplicación y ya no me sale la reserva</t>
  </si>
  <si>
    <t>114 - 117</t>
  </si>
  <si>
    <t>Se identifica mal la incidencia. La causa real es: El cliente no ha iniciado su reserva en las dos horas siguientes pasando a "no show". Quizás deba valorar la diferencia entre hora solicitud y hora de reserva. Si es más de 2 horas = no Show</t>
  </si>
  <si>
    <t>Respuesta OK. Falta e-mail</t>
  </si>
  <si>
    <t>"He registrado tu incidencia de validación urgente. Para que puedan priorizar la activación de tu cuenta, por favor envía un correo explicando tu caso a corporate@aviscanarias.es. Así el equipo podrá revisarlo cuanto antes.
¿Te puedo ayudar con algo más?"</t>
  </si>
  <si>
    <t>no me han validado, que hago?</t>
  </si>
  <si>
    <t>139 - 144</t>
  </si>
  <si>
    <t>No se ha enviado correo con la incidencia</t>
  </si>
  <si>
    <t>Dar info del FAQ (Shuttle)</t>
  </si>
  <si>
    <t>Lamento informarte que mi asistencia se limita a consultas e incidencias relacionadas con los servicios de alquiler de vehículos de AVIS Corporate en Canarias. Para información sobre el shuttle en Tenerife Norte, te recomiendo consultar con el aeropuerto o su página oficial. ¿Puedo ayudarte con alguna otra consulta o incidencia sobre nuestros servicios?</t>
  </si>
  <si>
    <t>tengo que ir a Tenerife Norte, donde se coge el shuttle</t>
  </si>
  <si>
    <t>137 - 138</t>
  </si>
  <si>
    <t>No da info del Shuttle</t>
  </si>
  <si>
    <t>647 760 222</t>
  </si>
  <si>
    <t>Enric</t>
  </si>
  <si>
    <t>Crear incidencia y enviarla por email</t>
  </si>
  <si>
    <t>Se crea la incidencia y llega por email pero el agente nunca pide el DNI para adjuntarlo en el email.</t>
  </si>
  <si>
    <t>el coche se ha incendiado</t>
  </si>
  <si>
    <t>177 - 180</t>
  </si>
  <si>
    <t>No pide el DNI al cliente</t>
  </si>
  <si>
    <t>el vehículo no está estacionado en el lugar en el que lo dejé</t>
  </si>
  <si>
    <t>199 - 202</t>
  </si>
  <si>
    <r>
      <rPr>
        <rFont val="Montserrat"/>
        <b/>
        <color rgb="FF000000"/>
        <sz val="7.0"/>
      </rPr>
      <t xml:space="preserve">Se crea la incidencia y llega por email pero no se aprecia el nivel de urgencia (Alto) definido el el documento: </t>
    </r>
    <r>
      <rPr>
        <rFont val="Montserrat"/>
        <b/>
        <color rgb="FF1155CC"/>
        <sz val="7.0"/>
        <u/>
      </rPr>
      <t>https://docs.google.com/spreadsheets/d/1cXIG7IEvWKMiaIbXZOZvTYbZcftXg5XDYn9L4Mloi2o/edit?gid=0#gid=0</t>
    </r>
    <r>
      <rPr>
        <rFont val="Montserrat"/>
        <b/>
        <color rgb="FF000000"/>
        <sz val="7.0"/>
      </rPr>
      <t xml:space="preserve"> linea 2</t>
    </r>
  </si>
  <si>
    <t>No se puede abrir el coche</t>
  </si>
  <si>
    <t>207 - 2012</t>
  </si>
  <si>
    <t>¿No debería preguntar por cual de estas dos causas no se puede abrir el coche por no poder visualzar la llave digital?
- Aún no llegó fecha de inicio reserva
- Falta cobertura</t>
  </si>
  <si>
    <t>Directamente propone: 
Debe buscar cobertura y abrir la llave digital. Una vez abierta, acérquese al coche y vuelva a intentar abrir y cerrar el vehículo.
¿Necesita ayuda con algo más?</t>
  </si>
  <si>
    <t>223 - 226</t>
  </si>
  <si>
    <t>Propone directamente la falta de cobertura como respuesta y no se plantea que la fecha de la reserva como otra posible solución</t>
  </si>
  <si>
    <t>El agente dice que se ha creado la incidencia pero no llega el email al buzón.</t>
  </si>
  <si>
    <t>227 - 232</t>
  </si>
  <si>
    <t>El agente informa al cliente que se ha generado su incidencia pero no llega el email al buzón</t>
  </si>
  <si>
    <t xml:space="preserve">Mirar en el mapa donde está en vehículo. Si no está cerca, seguir escalado de incidencias no gestionables. </t>
  </si>
  <si>
    <t>"Tu incidencia sobre la desaparición del coche se ha registrado y escalado correctamente. Te recomendamos que llames al siguiente número de asistencia: 928 092 337 para recibir ayuda inmediata, ya que estamos en horario laboral.</t>
  </si>
  <si>
    <t>El coche no aparece</t>
  </si>
  <si>
    <t>248 - 252</t>
  </si>
  <si>
    <t>No sigue el fluljo establecido en el documento: https://docs.google.com/spreadsheets/d/1cXIG7IEvWKMiaIbXZOZvTYbZcftXg5XDYn9L4Mloi2o/edit?gid=0#gid=0
Crea la incidencia sin DNI.</t>
  </si>
  <si>
    <t>[KO] Se crea la incidencia y llega por email pero el agente nunca pide el DNI para adjuntarlo en el email.</t>
  </si>
  <si>
    <t>177 - 178</t>
  </si>
  <si>
    <t>Sigue sin pedir el DNI al cliente</t>
  </si>
  <si>
    <t>[OK] El agente pide el DNI crea la incidencia que llega por email con lo datos correctos</t>
  </si>
  <si>
    <t>Ahora si pide el DNI</t>
  </si>
  <si>
    <t>Continuar con el escalado en función de mi respuesta, pero el agente no responde, al incicarle que deseo la opción 1 de las que me propone.</t>
  </si>
  <si>
    <t>[KO] No responde a la opción selecccinada</t>
  </si>
  <si>
    <t>No puedo abrir el coche</t>
  </si>
  <si>
    <t>24 - 28</t>
  </si>
  <si>
    <t>Líneas del historial de conveesaciones</t>
  </si>
  <si>
    <t>Debería preguntarme cual de las 4 opciones más habituales no puedo localicar el coche y esperar mi selección, pero me pide el DNI y crea el caso</t>
  </si>
  <si>
    <t>[KO] No me muestra las 4 opciones habituales por las que no podría localizar mi vehículo</t>
  </si>
  <si>
    <t>30 - 34</t>
  </si>
  <si>
    <t>Pedir el DNI y crear la incidencia</t>
  </si>
  <si>
    <t>[KO] No pide el DNI</t>
  </si>
  <si>
    <t>Día / Hora</t>
  </si>
  <si>
    <t>Respuesta</t>
  </si>
  <si>
    <t>Tasa de Automatización</t>
  </si>
  <si>
    <t>First Contact Resolution Rate - FCR</t>
  </si>
  <si>
    <t>Valoración respuesta (Precisión)</t>
  </si>
  <si>
    <t>Resultado deseado</t>
  </si>
  <si>
    <t>18-09-2025 13:28</t>
  </si>
  <si>
    <t>Hola
Tengo un problema, me puede. Ayudar
Por favor, indícame con más detalle en qué puedo ayudarte para derivarte al área correcta.
Se me pinchó una rueda
"Parece que necesita asistencia en carretera. Para ello, llame al servicio en carretera 24/7 de RACE en el siguiente número: 900 112 222.
¿Puedo ayudarle con algo más?"</t>
  </si>
  <si>
    <t>NOK</t>
  </si>
  <si>
    <t>Mejorable</t>
  </si>
  <si>
    <t>No se solicitó DNI y no podemos hacer seguimiento</t>
  </si>
  <si>
    <t>18-09-2025 17:43</t>
  </si>
  <si>
    <t>Hola
Alguien me atiende porfi
Esto no me va
Y tengo mis cosas en el coche
"¡Hola! Soy Corporín, tu asistente virtual de AVIS Corporate en Canarias. Veo que tienes problemas para acceder a tu coche y necesitas tus pertenencias.
Para poder ayudarte mejor, ¿podrías decirme cuál de estas situaciones describe mejor tu problema?
1. El vehículo no está disponible
2. No aparece la llave digital en la app
3. El botón de abrir/cerrar se queda en carga
4. Aparece una pantalla verde en la app
Por favor, indícame cuál se ajusta más a lo que te ocurre. ¡Así podré darte la solución más rápida!"
Que me abran el coche ya porfi
Llevo más de 1h aquí
"Entiendo que es una situación urgente y quiero ayudarte lo más rápido posible. Para poder abrir el coche y devolverte el acceso, necesito que me indiques cuál de estas situaciones se ajusta más a tu problema:
1. El vehículo no está disponible
2. No aparece la llave digital en la app
3. El botón de abrir/cerrar se queda en carga
4. Aparece una pantalla verde en la app
Por favor, dime el número o la opción que más se parece a lo que ves en tu app. ¡Así podré darte la solución al momento!"
"Entiendo perfectamente tu urgencia y lamento mucho la espera. Para poder abrir el coche y ayudarte lo más rápido posible, necesito que me indiques cuál de estas situaciones se ajusta mejor a tu problema:
1. El vehículo no está disponible
2. No aparece la llave digital en la app
3. El botón de abrir/cerrar se queda en carga
4. Aparece una pantalla verde en la app
Por favor, dime el número o la descripción que más se parece a lo que ves, así podré darte la solución inmediata. ¡Estoy aquí para ayudarte!"
Holaa
Que me contesta alguien
Porfi 🙏
Me podáis abrir este coche
"Entiendo perfectamente tu urgencia y quiero ayudarte lo antes posible. Para poder abrir el coche y devolverte el acceso, necesito que me indiques exactamente cuál de estas situaciones ves en tu app:
1. El vehículo no está disponible
2. No aparece la llave digital en la app
3. El botón de abrir/cerrar se queda en carga
4. Aparece una pantalla verde en la app
Por favor, dime el número o la opción que más se parece a lo que ves. ¡Así podré darte la solución inmediata y ayudarte a recuperar tus cosas!"
Si está disponible
"¡Hola! Veo que el coche sí aparece como disponible, así que vamos a descartar esa opción. Para poder ayudarte a abrirlo, necesito que me indiques cuál de estas situaciones se ajusta mejor a lo que ves en la app:
1. ¿No aparece la llave digital en la app?
2. ¿El botón de abrir/cerrar se queda en carga?
3. ¿Te aparece una pantalla verde?
Por favor, dime el número o la opción que más se parece a tu caso. ¡Así podré darte la solución al momento!"
No aparece la llave digital
Me la puedes dar porfi
En la aplicación no tengo la llave
Debe buscar cobertura y abrir la llave digital. Una vez abierta, acérquese al coche y vuelva a intentar abrir y cerrar el vehículo. Revisa esta indicación y dime si consigues acceder, por favor. Si sigues teniendo problemas, avísame para ayudarte con el siguiente paso.
Por favor
Se lo pido
Esto no me va
Y tengo vuelo
Alguien me puede llamar
Alguien me puede llamar
Veo que sigues sin poder acceder al coche y necesitas una solución urgente porque tienes un vuelo. Para poder ayudarte lo más rápido posible, por favor, facilítame tu DNI. Así podré gestionar tu incidencia de inmediato y darte la mejor solución.
X9571734P
Tu solicitud ha sido enviada. Un agente de soporte te atenderá lo antes posible. Gracias por tu paciencia.
Tu solicitud ha sido enviada. Un agente de soporte te atenderá lo antes posible. Gracias por tu paciencia.
Que me llame ya
No aguanto más
Tu solicitud ha sido enviada. Un agente de soporte te atenderá lo antes posible. Gracias por tu paciencia.
Que pasa
Alguien me puede abrir el coche
Por favor
Se lo pido
Por favor 🙏
Me pidáis abrir el coche
Os he dado toda la información mía
Cuando me van a llamar ?
Nunca por lo que veo
Que pasa
Tu solicitud ha sido enviada. Un agente de soporte te atenderá lo antes posible. Gracias por tu paciencia.
Tu solicitud ha sido enviada. Un agente de soporte te atenderá lo antes posible. Gracias por tu paciencia.</t>
  </si>
  <si>
    <t>No se indicó horario atención al cliente. No se detectó la incidencia de pertenencias dentro del vehículo.</t>
  </si>
  <si>
    <t>18-09-2025 19:02</t>
  </si>
  <si>
    <t>Hola, cogí el coche ayer, 17/09/2025, a las 20:00, hasta hoy, 18/09/2025, a las 11:00. Olvidé mis AirPods en el coche. Gracias por tus comentarios.
"¡Hola! Soy Corporín, tu asistente virtual de AVIS Corporate en Canarias. Gracias por contactarnos.
He visto que has olvidado tus AirPods en el coche que alquilaste. Para poder ayudarte a gestionar la recuperación de tus pertenencias, por favor, facilítame tu DNI.
En cuanto lo reciba, gestiono la incidencia y te indico los siguientes pasos."</t>
  </si>
  <si>
    <t>Bien</t>
  </si>
  <si>
    <t>18-09-2025 20:38</t>
  </si>
  <si>
    <t>Que debo hacer
Por favor, indícame con más detalle en qué puedo ayudarte para derivarte al área correcta.
Cuando enciendo el coche me dice servicio de aceite necesario
"¡Hola! El mensaje ""servicio de aceite necesario"" indica que tu coche necesita una revisión técnica. Para este tipo de situaciones, te recomendamos que llames al servicio de asistencia en carretera de RACE, disponible 24/7, en el número 900 112 222.
Además, hemos registrado tu incidencia para que quede constancia en nuestro sistema. Si necesitas ayuda con algo más, aquí estoy para ayudarte."</t>
  </si>
  <si>
    <t>No sabemos que coche ni cliente és</t>
  </si>
  <si>
    <t>19-09-2025 09:27</t>
  </si>
  <si>
    <t>Hola
¡Hola! Soy Corporín, tu asistente virtual de AVIS Corporate en Canarias. ¿En qué puedo ayudarte hoy?
Quiero alquilar un coche en Gran Canaria para el mes que viene, cuáles son los requisitos?
"Para alquilar un coche en Gran Canaria con AVIS Corporate Canarias debes cumplir estos requisitos:
- Tener al menos 21 años.
- Contar con un permiso de conducir con al menos 1 año de antigüedad.
- Presentar una tarjeta de crédito a tu nombre para formalizar la reserva y bloquear la fianza.
- Si tu permiso de conducir es extranjero, debe estar en formato reconocido por la normativa española; si no está en español, se recomienda llevar también el Permiso Internacional de Conducción o una traducción oficial, junto con DNI o pasaporte vigente.
Además, la validación de tu documentación suele completarse en menos de 24 horas tras subirla a la app.
¿Necesitas que te ayude con algo más?"
Si, desde que web puedo hacer la reserva?
"Para hacer una reserva con AVIS Corporate Canarias debes utilizar la app de AVIS Corporate Canarias. La web es solo informativa y no permite realizar reservas.  
¿Necesitas que te ayude con algo más?"
Me pasas el enlace a la descarga de la app?
Para descargar la app de AVIS Corporate Canarias, puedes buscarla directamente en la tienda de aplicaciones de tu móvil (App Store para iOS o Google Play para Android) con el nombre "AVIS Corporate Canarias". La app es necesaria para realizar reservas y gestionar tus alquileres. ¿Necesitas que te ayude con algo más?
Si, ya tengo una reserva pero la app no funciona, se ve todo negro
"¡Gracias por la información! Para poder ayudarte con la incidencia de la app que se ve en negro, ¿podrías confirmarme si el problema ocurre al abrir la app o al intentar acceder a tu reserva? ¿Ocurre en todo momento o solo en una sección concreta? 
Con estos detalles podré tipificar correctamente la incidencia y darte la mejor solución."
Al acceder a mi reserva
Gracias por la información. Para poder ayudarte con el problema de la app al acceder a tu reserva, ¿podrías facilitarme tu DNI? Así podremos gestionar tu incidencia correctamente y darte una solución lo antes posible.</t>
  </si>
  <si>
    <t>OK</t>
  </si>
  <si>
    <t>Parece una prueba interna</t>
  </si>
  <si>
    <t>19-09-2025 13:55</t>
  </si>
  <si>
    <t>Hola
¡Hola! Soy Corporín, tu asistente virtual de AVIS Corporate en Canarias. ¿En qué puedo ayudarte hoy?
Necesito alquilar un coche en fuerteventura hoy pero me han pedido actualizar mi documentación en la app, que ya he hecho pero esta pendiente de revisión y no me deja alquilar
"Entiendo la situación: has actualizado tu documentación en la app, pero sigue pendiente de revisión y no puedes alquilar el coche que necesitas hoy en Fuerteventura.
Lo primero que te recomiendo es cancelar la reserva actual y generar una nueva, ya que a veces el sistema necesita refrescar la información para validar la documentación. Si lo consideras oportuno, puedes presentar una reclamación escribiendo a corporate@aviscanarias.es.
Para poder ayudarte y gestionar tu caso de forma más directa, ¿podrías facilitarme tu DNI, por favor?"
44735051M
"Tu caso ha sido enviado a nuestro departamento de Atención al Cliente y se tramitará en los próximos días. Si necesitas alquilar un coche urgentemente, te recomiendo cancelar la reserva actual y generar una nueva desde la app.
¿Puedo ayudarte con algo más?"</t>
  </si>
  <si>
    <r>
      <rPr>
        <rFont val="Montserrat"/>
        <b/>
        <color rgb="FF000000"/>
        <sz val="7.0"/>
      </rPr>
      <t>Esta parte está mal:</t>
    </r>
    <r>
      <rPr>
        <rFont val="Montserrat"/>
        <b val="0"/>
        <color rgb="FF000000"/>
        <sz val="7.0"/>
      </rPr>
      <t xml:space="preserve"> Lo primero que te recomiendo es cancelar la reserva actual y generar una nueva, ya que a veces el sistema necesita refrescar la información para validar la documentación.
</t>
    </r>
    <r>
      <rPr>
        <rFont val="Montserrat"/>
        <b/>
        <color rgb="FF000000"/>
        <sz val="7.0"/>
      </rPr>
      <t>No es necesario cancelar la reserva, solo esperar a que le validen. Si le urge, llamar por teléfono si está en horario.</t>
    </r>
  </si>
  <si>
    <t>19-09-2025 16:40</t>
  </si>
  <si>
    <t>Quanto tempo prima si può annullare una prenotazione?
Puedes cancelar una reserva sin coste siempre y cuando se realice antes de la fecha de inicio del contrato. ¿Necesitas que te ayude con algo más?
Traducir en italiano
Puoi cancellare una prenotazione senza costi purché la cancellazione avvenga prima della data di inizio del contratto. Posso aiutarti con qualcos'altro?
No gracias
Gracias a ti. Que tengas un buen día.</t>
  </si>
  <si>
    <t>Todo OK, primera respuesta en el mismo idioma que pregunta sería ideal</t>
  </si>
  <si>
    <t>20-09-2025 11:13</t>
  </si>
  <si>
    <t>Buenos días
¡Hola! Soy Corporín, tu asistente virtual de AVIS Corporate en Canarias. ¿En qué puedo ayudarte hoy?
Acabo de reservar un coche y cuando lo fuy a coger me pone que alguien ha sido más rápido que yo y ahora no me deja cancelar
"Parece que el vehículo asignado a tu reserva no se encuentra disponible en este momento. Por favor, intenta cancelar la reserva actual y genera una nueva para que podamos asignarte otro vehículo. Si lo consideras oportuno, puedes presentar una reclamación escribiendo a corporate@aviscanarias.es. 
Para poder compensar el viaje inicial no disfrutado y gestionar tu incidencia correctamente, ¿podrías facilitarme tu DNI?"
42412258M
"Se ha registrado tu incidencia y se ha enviado al departamento correspondiente. Al estar fuera de nuestro horario laboral, te llamarán cuando estemos en horario (de lunes a viernes, de 08:00 a 20:00h). 
¿Hay algo más en lo que pueda ayudarte?"
No muchas gracias
¡Perfecto! Si necesitas cualquier otra cosa en el futuro, no dudes en contactarnos. Que tengas un buen día.</t>
  </si>
  <si>
    <t>20-09-2025 13:36</t>
  </si>
  <si>
    <t>Hola buenas
Estoy intentando abrir el coche y no me deja
"¡Hola! Soy Corporín, tu asistente virtual de AVIS Corporate en Canarias.
Veo que tienes problemas para abrir el coche. Para poder ayudarte mejor, ¿podrías decirme cuál de estas situaciones describe mejor tu problema?
1. El vehículo no está disponible.
2. No aparece la llave digital en la app.
3. El botón de abrir/cerrar se queda cargando y no responde.
4. Aparece una pantalla verde.
Por favor, dime cuál de estas opciones se ajusta a lo que te ocurre."
El coche pone que no esta en la provincia del contrato
"¡Gracias por la información! El mensaje que ves (""el coche pone que no está en la provincia del contrato"") encaja con la subincidencia ""Vehículo no disponible"".
Para poder ayudarte y escalar la incidencia correctamente, por favor, facilítame tu DNI.
Además, te informo que actualmente estamos fuera de nuestro horario laboral (lunes a viernes, de 08:00 a 20:00 en Canarias). En cuanto nos lo envíes, enviaré tu incidencia y nuestro Call Center te contactará cuando estemos en horario laboral."
05307598A
"¡Gracias! He registrado tu incidencia correctamente y la he escalado para que nuestro Call Center te contacte en cuanto estemos en horario laboral (lunes a viernes, de 08:00 a 20:00 en Canarias).
¿Hay algo más en lo que pueda ayudarte?"
El coche lo necesito para el finde semana
No puedo esperar al lunes
Por favor, indícame con más detalle en qué puedo ayudarte para derivarte al área correcta.
Tu solicitud ha sido enviada. Un agente de soporte te atenderá lo antes posible. Gracias por tu paciencia.
No hay opción de abrir el vehículo podría ser por que el anterior contrato no cerró su reserva?
"No existe una función para pausar el viaje; el vehículo se puede abrir y cerrar durante la reserva, pero se sigue cobrando por el tiempo de uso mientras esté reservado. Por tanto, si el vehículo no se puede abrir, podría deberse a que el contrato anterior no se cerró correctamente, pero para resolverlo es necesario contactar con el Centro de Atención 24 h para que te guíen y reactiven la llave digital o te proporcionen asistencia presencial.
¿Necesitas que te ayude con algo más?"
Sí que teléfono sería?
"Actualmente estamos fuera de nuestro horario laboral y tu incidencia ya ha sido escalada para que el Call Center te contacte en cuanto sea posible. Si necesitas asistencia urgente, te recomiendo esperar a que nuestro equipo se ponga en contacto contigo en el horario indicado.
¿Hay algo más en lo que pueda ayudarte?"
Si es urgente debería ser inmediato no esperar al lunes
Ya que el coche lo necesito para el fin de semana
Y no ponen ninguna solución
Tu solicitud ha sido enviada. Un agente de soporte te atenderá lo antes posible. Gracias por tu paciencia.
Tu solicitud ha sido enviada. Un agente de soporte te atenderá lo antes posible. Gracias por tu paciencia.</t>
  </si>
  <si>
    <t>Este error es puntual y no estaba programado. Por tanto, damos la respuesta por OK</t>
  </si>
  <si>
    <t>20-09-2025 19:34</t>
  </si>
  <si>
    <t>Hola. Tengo una urgencia
0667 MNJ
Por favor, indícame con más detalle en qué puedo ayudarte para derivarte al área correcta.
"¡Hola! Soy Corporín, tu asistente virtual de AVIS Corporate en Canarias. Actualmente estamos fuera de nuestro horario laboral (lunes a viernes, de 08:00 a 20:00 en Canarias), pero he recibido tu mensaje y la matrícula 0667 MNJ.
Por favor, cuéntame brevemente cuál es la urgencia o el problema que tienes con el vehículo para poder ayudarte en cuanto volvamos a estar operativos. ¿Qué ha sucedido exactamente?"
Por favor pueden llamar 699470701
Tu solicitud ha sido enviada. Un agente de soporte te atenderá lo antes posible. Gracias por tu paciencia.
Tengo un vehículo alquilado por avis corporate y accidentalmente con el movil en el bolsillo me cerro la entrega
"Hemos registrado tu incidencia: al cerrar la entrega del vehículo con el móvil, ahora no puedes acceder al coche. Como estamos fuera de nuestro horario laboral (lunes a viernes, de 08:00 a 20:00 en Canarias), hemos enviado tu caso a nuestro Call Center y te llamarán en cuanto volvamos a estar operativos.
¿Hay algo más en lo que pueda ayudarte?"
Estoy en Costa calma con mis cosas dentro del vehículo y necesito entrar para ir al hotel
Necesito ayuda urgente
"Entiendo tu situación y lamento las molestias. Para poder ayudarte a recuperar tus pertenencias y acceder al vehículo, por favor facilítame tu DNI. Así podremos gestionar tu incidencia correctamente y asegurarnos de que el Call Center te contacte en cuanto volvamos a estar operativos (lunes a viernes, de 08:00 a 20:00 en Canarias).
¿Podrías indicarme tu DNI, por favor?"
Como abrir nuevamente el alquiler de este mismo vehiculo
Dni 42849158c
"Para abrir nuevamente el alquiler del mismo vehículo, no es posible adelantar la recogida desde la app. Debes cancelar la reserva actual sin coste si lo haces antes de la fecha de inicio del contrato y luego generar una nueva reserva ajustando la hora inicial deseada.  
¿Necesitas que te ayude con algo más?"
Emilio Roberto Domínguez Guerra
"Se ha registrado tu incidencia correctamente: al cerrar la entrega del vehículo con el móvil, ahora no puedes acceder al coche y tus pertenencias están dentro. Como estamos fuera de nuestro horario laboral, hemos enviado tu caso a nuestro Call Center y te llamarán en cuanto volvamos a estar operativos (lunes a viernes, de 08:00 a 20:00 en Canarias).
¿Hay algo más en lo que pueda ayudarte?"
Pero como coger el mismo vehículo?
"Tu incidencia ha sido registrada y enviada a nuestro Call Center. Como estamos fuera de horario laboral, te llamarán en cuanto volvamos a estar operativos (lunes a viernes, de 08:00 a 20:00 en Canarias) para ayudarte a recuperar el acceso a tu vehículo y tus pertenencias.
¿Hay algo más en lo que pueda ayudarte ahora?"
"¡Hola! Entiendo perfectamente tu preocupación y la urgencia de la situación. Actualmente, una vez que se ha cerrado la entrega del vehículo con el móvil, no es posible reabrir el mismo alquiler desde la app ni asignar el mismo coche de forma inmediata. La única opción es cancelar la reserva actual (si aún no ha comenzado) y realizar una nueva reserva, pero no podemos garantizar que sea el mismo vehículo.
Como ya hemos registrado tu incidencia y estamos fuera de horario laboral, nuestro Call Center te contactará en cuanto volvamos a estar operativos para ayudarte lo antes posible.
¿Hay algo más en lo que pueda ayudarte mientras tanto?"
Por dios. El alquiler por medio de la aplicación me deriva a recoger el vehículo a 60 km
"¡Hola de nuevo! Entiendo perfectamente tu frustración por la distancia a la que la app te asigna el nuevo vehículo. Por el momento, como estamos fuera de horario laboral, no puedo modificar la asignación ni garantizar que puedas recoger el mismo coche.
Ya hemos registrado tu incidencia y el Call Center te contactará en cuanto volvamos a estar operativos para buscar la mejor solución posible. Si necesitas que anote algún detalle adicional en tu incidencia, házmelo saber y lo gestiono para que lo tengan en cuenta en cuanto te llamen.
¿Hay algo más en lo que pueda ayudarte ahora?"</t>
  </si>
  <si>
    <t>Está bien el proceso, si bien queremos añadir acceso a los teléfonos de oficinas de aeropuerto para estos cambios</t>
  </si>
  <si>
    <t>21-09-2025 12:42</t>
  </si>
  <si>
    <t>Hello
¡Hola! Soy Corporín, tu asistente virtual de AVIS Corporate en Canarias. ¿En qué puedo ayudarte hoy?
Borra los documentos que subí. Eres un estafador, te denunciaré. No tengo permiso para borrarlos de tu aplicación.
Tu solicitud ha sido enviada. Un agente de soporte te atenderá lo antes posible. Gracias por tu paciencia.
Cuántos minutos tardará en borrarse? Lo denunciaré ante las autoridades.
Tu solicitud ha sido enviada. Un agente de soporte te atenderá lo antes posible. Gracias por tu paciencia.
También me quejaré de ti a AVIS.
Tu solicitud ha sido enviada. Un agente de soporte te atenderá lo antes posible. Gracias por tu paciencia.</t>
  </si>
  <si>
    <t>Debería haber pedido el DNI.</t>
  </si>
  <si>
    <t>22-09-2025 10:56</t>
  </si>
  <si>
    <t>Buenos días
¡Hola! Soy Corporín, tu asistente virtual de AVIS Corporate en Canarias. ¿En qué puedo ayudarte hoy?
Hay alguna solución con mi incidencia porque estoy llamando por teléfono y la chica me dice que no puede hacer nada y me habéis cobrado 9,90€ cuando yo no he disfrutado del coche
"Tu caso ha sido enviado a nuestro departamento de Atención al Cliente y en los próximos días se tramitará la devolución del importe cobrado. Sentimos las molestias ocasionadas.
¿Hay algo más en lo que pueda ayudarte?"
OK muchas gracias
¡Perfecto! Si necesitas cualquier otra cosa en el futuro, no dudes en contactarnos. Que tengas un buen día.</t>
  </si>
  <si>
    <t>22-09-2025 13:20</t>
  </si>
  <si>
    <t>Buenos días
¡Hola! Soy Corporín, tu asistente virtual de AVIS Corporate en Canarias. ¿En qué puedo ayudarte hoy?
Realice una reserva de un coche el jueves pasado ,la cancele al día siguiente,y aún no me han hecho la devolución
Gracias por la información. Para poder gestionar tu incidencia y tramitar la devolución, ¿podrías facilitarme tu DNI, por favor?
16076483n
"Tu incidencia sobre la devolución de la reserva ha sido registrada y enviada al departamento correspondiente. En los próximos días se tramitará la devolución. 
¿Puedo ayudarte con algo más?"
No
¡Perfecto! Si necesitas cualquier otra cosa en el futuro, aquí estaré para ayudarte. Que tengas un excelente día.</t>
  </si>
  <si>
    <t>Debería explicar que el periodo de reintegro puede durar hasta 10 días según el banco.</t>
  </si>
  <si>
    <t>22-09-2025 15:39</t>
  </si>
  <si>
    <t>He cancelado la reserva por error
"¡Hola! Soy Corporín, tu asistente virtual de AVIS Corporate en Canarias.
Veo que has cancelado tu reserva por error. Para poder ayudarte a recuperar tu reserva o gestionar una posible compensación, por favor, facilítame tu DNI. Además, te recomiendo que generes una nueva reserva para asegurarte de tener un vehículo disponible.
¿Me puedes indicar tu DNI para continuar con la gestión?"
44737470d
Necesito activar el mismo coche
"¡Gracias por facilitar tu DNI! He registrado tu incidencia y la he enviado al departamento correspondiente para su gestión. 
Te recomiendo que generes una nueva reserva para asegurarte de tener un vehículo disponible. En los próximos días, nuestro equipo tramitará la devolución o compensación correspondiente.
¿Puedo ayudarte con algo más?"
"He gestionado tu solicitud y he informado al departamento correspondiente sobre la cancelación por error y tu petición de reactivar el mismo coche. En los próximos días se pondrán en contacto contigo para darte una solución.
¿Hay algo más en lo que pueda ayudarte?"
Necesito el teléfono de contacto
Puedes llamar al Centro de Atención 24 h de AVIS Corporate Canarias al teléfono 928 092 337 para cualquier consulta o asistencia. ¿Necesitas que te ayude con algo más?</t>
  </si>
  <si>
    <t>Si la reserva está cancelada por error, debería pasar con el call center directamente</t>
  </si>
  <si>
    <t>22-09-2025 22:45</t>
  </si>
  <si>
    <t>Estoy esperando en el aeropuerto
De Tenerife norte
Por el transfer para que nos recoja
"¡Hola! Soy Corporín, tu asistente virtual de AVIS Corporate en Canarias.
Actualmente estamos fuera de nuestro horario laboral (lunes a viernes, de 08:00 a 20:00 en Canarias). He registrado tu incidencia y nuestro equipo te contactará cuando volvamos a estar operativos. 
¿Podrías facilitarme tu DNI para poder gestionar tu caso correctamente? ¡Gracias por tu paciencia!"
Ya está todo solucionado gracias
¡Perfecto! Me alegra saber que ya está todo solucionado. Si necesitas ayuda en el futuro, aquí estaré para lo que necesites. ¡Que tengas buen viaje!</t>
  </si>
  <si>
    <t>Mal</t>
  </si>
  <si>
    <t>Debería aportar información del Shuttle (Transfer)</t>
  </si>
  <si>
    <t>23-09-2025 21:45</t>
  </si>
  <si>
    <t>Hola acabo de alquilar un coche y no se abre la barrera del parking
"¡Hola! Entiendo que acabas de alquilar un coche y no se abre la barrera del parking. Para poder ayudarte y gestionar tu incidencia correctamente, ¿podrías facilitarme tu DNI, por favor? Así podremos registrar el caso y nuestro Call Center te llamará en cuanto estemos en horario laboral (de lunes a viernes, de 08:00 a 20:00 en Canarias).
Quedo pendiente de tu respuesta para ayudarte lo antes posible."
Acabo de alquilar un coche y no se abre la barrera del parking
"¡Hola! Entiendo que acabas de alquilar un coche y no se abre la barrera del parking. Para poder ayudarte y registrar tu incidencia correctamente, ¿podrías facilitarme tu DNI, por favor? Así podremos derivar tu caso y nuestro Call Center te llamará en cuanto estemos en horario laboral (de lunes a viernes, de 08:00 a 20:00 en Canarias).
Quedo pendiente de tu respuesta para ayudarte lo antes posible."</t>
  </si>
  <si>
    <t>24-09-2025 09:26</t>
  </si>
  <si>
    <t>Hola, ya revisaron mis documentos? Paul Mihai Florescu Y7330488B
La validación de tu documentación suele completarse en menos de 24 horas tras subirla a la App. Recibirás un email o notificación cuando tu cuenta esté activa. ¿Necesitas que te ayude con algo más?
Es que quiero reservar un coche, y dice que hay un problema con mi reserva, que tengo que contactarles
"Parece que el vehículo asignado a tu reserva no se encuentra disponible en este momento. Por favor, cancela la reserva actual y genera una nueva para que podamos asignarte otro coche. Si lo consideras oportuno, puedes presentar una reclamación escribiendo a corporate@aviscanarias.es.
Tu caso ya ha sido enviado a nuestro departamento de Atención al Cliente y en los próximos días se tramitará la devolución correspondiente.
¿Hay algo más en lo que pueda ayudarte?"</t>
  </si>
  <si>
    <t>24-09-2025 10:22</t>
  </si>
  <si>
    <t>Hola tengo una reserva y quería confirmar el lugar de recogida
"Puedes recoger tu vehículo en varios puntos de AVIS Corporate en Canarias, dependiendo del lugar de tu reserva:
- Aeropuerto La Palma: Planta -2, plazas con letra G y H. Dirección: Ctra. La Bajita, s/n, 38739 Villa de Mazo, Santa Cruz de Tenerife. Horario 24/7.
- Taller Hyundai iTenerife: Parking del concesionario Hyundai iTenerife. Dirección: Carr. Gral. la Cuesta, 38320 La Laguna, Santa Cruz de Tenerife. Horario: lunes a viernes de 8:00 a 20:00.
- Taller Domingo Alonso Tenerife: Dirección: C. las Macetas, 14, 38108 La Laguna, Santa Cruz de Tenerife. Horario: lunes a viernes de 9:00 a 16:00.
- Aeropuerto Tenerife Norte: Oficinas en Camino San Lazaro, 142. Horario: 7:00 - 23:30.
- Aeropuerto Tenerife Sur: Bus lanzadera desde aparcamiento E07 cada 15 minutos. Horario: 8:00 - 22:30.
- Taller Domingo Alonso Telde: Dirección: C. Simón Bolívar, 11, 35214 Telde, Las Palmas. Horario: lunes a viernes de 8:00 a 16:00.
- Sholeo Lodges Las Palmas: Parking del hotel con acceso mediante PIN. Dirección: C. Rosarito, 15. Horario 24/7.
- Parking Indigo Triana: Primera planta, plazas 1065 y 1066. Dirección: Av. Rafael Cabrera, 7, 35002 Las Palmas. Horario 24/7.
- Parking Subida de Mata: Plazas 7 y 8. Dirección: Carretera de Mata, 35002 Las Palmas. Horario 24/7.
- Taller Hyundai iGran Canaria: Dirección: C. Diego Vega Sarmiento, 11, 35014 Las Palmas. Horario: lunes a viernes de 8:00 a 20:00.
- Taller Domingo Alonso Maspalomas: Dirección: C. Cartago, 13, 35109 El Tablero, Las Palmas. Horario: lunes a viernes de 8:00 a 16:00.
- Taller Domingo Alonso Gran Canaria: Dirección: C. Luis Correa Medina, 23, 35013 Las Palmas. Horario: lunes a viernes de 9:00 a 16:00.
- Aeropuerto Gran Canaria: Llegadas insulares, parking exterior rent a car, plazas AVIS Corporate. Dirección: Ctra. de Gando, 35230 Telde. Horario 24/7.
- Taller Domingo Alonso Fuerteventura: Dirección: Carretera de Zurita Km 2,6 35600, Puerto del Rosario. Horario: lunes a viernes de 9:00 a 16:00.
- Aeropuerto Fuerteventura: Parking rent a car, plazas AVIS Corporate. Dirección: Aeropuerto Matorral Sin Numero, 35610. Horario 24/7.
- Taller Domingo Alonso Lanzarote: Dirección: Carr. San Bartolomé, 84, 35500 Arrecife. Horario: lunes a viernes de 9:00 a 16:00.
- Aeropuerto Lanzarote: Oficinas en Av. Mamerto Cabrera, 86. Servicio shuttle desde Meeting Point cada 10 minutos. Horario: 7:00 a 22:00.
Para más detalles o si necesitas información específica de tu reserva, por favor utiliza la app de AVIS Corporate Canarias.
¿Necesitas que te ayude con algo más?"
Lo e solicitado para el taller i tenerife pero en las instrucciones de recogida dice aeropuerto
"¡Hola! Entiendo que has solicitado la recogida en el taller Hyundai iTenerife pero las instrucciones que has recibido indican el aeropuerto. 
¿Podrías, por favor, revisar en el mapa de tu aplicación AVIS Corporate dónde se indica la ubicación exacta del vehículo? Así podremos confirmar si la ubicación es correcta o si hay algún error. 
Si sigues viendo la discrepancia tras comprobarlo, avísame para ayudarte a gestionarlo."
Me dice upsss algo a fallado
¡Gracias por la información! Veo que la app te muestra un error al intentar ver la ubicación del coche. Para poder ayudarte y gestionar tu incidencia correctamente, ¿podrías facilitarme tu DNI, por favor? Así podremos revisar tu reserva y darte una solución lo antes posible.
78729229E
"Hemos registrado tu incidencia y la estamos gestionando. Como estamos en horario laboral, te recomiendo que llames al siguiente número de asistencia para que puedan ayudarte de inmediato: 928 092 337.
¿Puedo ayudarte con algo más?"
No gracias
¡Incidencia registrada y gestionada correctamente! Si en el futuro necesitas ayuda con cualquier otra cosa, aquí estaré para ayudarte. ¡Que tengas un buen día!</t>
  </si>
  <si>
    <t>24-09-2025 10:59</t>
  </si>
  <si>
    <t>No puedo sacar el coche del parking
Necesito ayuda urgente
"¡Hola! Soy Corporín, tu asistente virtual de AVIS Corporate en Canarias.
Veo que no puedes sacar el coche del parking y necesitas ayuda urgente. Para poder ayudarte lo más rápido posible, ¿podrías decirme cuál de estas situaciones describe mejor tu problema?
1. El vehículo no está disponible
2. No aparece la llave digital en la app
3. El botón de abrir/cerrar se queda en carga
4. Aparece una pantalla verde
Por favor, dime cuál de estas opciones se ajusta a lo que te ocurre, así podré darte la solución adecuada."
La valla de seguridad del parking no se me abre no reconoce la matrícula
Gracias por la información. Para poder ayudarte a salir del parking y resolver el problema con la valla, ¿puedes facilitarme tu DNI? Así gestiono tu incidencia correctamente y te indico el siguiente paso.
54093282L
"Tu incidencia ha sido registrada y estamos gestionando el problema con la valla del parking. Como estamos en horario laboral, te recomiendo que llames al siguiente número de asistencia para que puedan ayudarte de inmediato: 928 092 337.
¿Necesitas ayuda con algo más?"</t>
  </si>
  <si>
    <t>Debemos añadir problemática de barrera parking</t>
  </si>
  <si>
    <t>24-09-2025 11:51</t>
  </si>
  <si>
    <t>Buenas
¡Hola! Soy Corporín, tu asistente virtual de AVIS Corporate en Canarias. ¿En qué puedo ayudarte hoy?
Buenos días necesito alquilar un coche en Madrid
Del 1 al 5 de oct
Lo siento, solo estoy habilitado para ayudarte con consultas o incidencias relacionadas con los servicios de alquiler de vehículos de AVIS Canarias. ¿Quieres que te ayude con algún alquiler dentro de las Islas Canarias?
Si necesito por favor por la página no he podido no sé cuál ubicación colocar no me sale Madrid
Para realizar la reserva, debes usar la app de AVIS Corporate Canarias, ya que la web es solo informativa. En la app podrás seleccionar las ubicaciones disponibles en Canarias; Madrid no está disponible porque nuestro servicio es solo para las Islas Canarias. ¿Quieres que te ayude a buscar una ubicación dentro de Canarias para tu alquiler? ¿Necesitas que te ayude con algo más?
Pero yo ya la semana pasada alquilé en Madrid en el aeropuerto y me dijeron que descargara la aplicación
Por favor, indícame con más detalle en qué puedo ayudarte para derivarte al área correcta.
Necesito llegar al aeropuerto Adolfo Suárez de Madrid barajas y alquilar un coche
Lo siento, solo estoy habilitado para ayudarte con consultas o incidencias relacionadas con los servicios de alquiler de vehículos de AVIS Canarias. ¿Hay algo en lo que pueda asistirte respecto a alquileres dentro de las Islas Canarias?
Y entone no me puede ayudar
Tu solicitud ha sido enviada. Un agente de soporte te atenderá lo antes posible. Gracias por tu paciencia.</t>
  </si>
  <si>
    <t>24-09-2025 13:07</t>
  </si>
  <si>
    <t>Hola, buenos días
¡Hola! Soy Corporín, tu asistente virtual de AVIS Corporate en Canarias. ¿En qué puedo ayudarte hoy?
Llevo desde ayer intentando hacer una reserva y no me deja
"Entiendo que llevas desde ayer intentando hacer una reserva y no te deja. Para poder ayudarte y compensar el inconveniente, por favor, cancela la reserva actual (si existe) e intenta generar una nueva. Además, facilítame tu DNI para poder gestionar tu incidencia correctamente y tramitar una posible compensación.
¿Podrías indicarme tu DNI, por favor?"
42258758N
"Tu incidencia ha sido registrada y enviada a nuestro departamento de Atención al Cliente. En los próximos días se tramitará la devolución o compensación correspondiente.
¿Hay algo más en lo que pueda ayudarte?"
Si , necesito hacer la reserva para el viernes
"Para hacer la reserva para el viernes, debes usar la app de AVIS Corporate Canarias. En la app podrás seleccionar la categoría de vehículo que prefieras (económico, compacto, SUV, monovolumen, etc.), ya que no se puede elegir un modelo específico. La app te mostrará los vehículos disponibles en tiempo real para las fechas que elijas.
Recuerda que para formalizar la reserva es obligatorio presentar una tarjeta de crédito a tu nombre para bloquear la fianza. También debes tener al menos 21 años y un año mínimo de antigüedad en tu permiso de conducir.
¿Necesitas que te ayude con algo más?"
Ponga el día que ponga y la fecha que ponga
Tu solicitud ha sido enviada. Un agente de soporte te atenderá lo antes posible. Gracias por tu paciencia.
Gracias
¡Gracias a ti por contactar con AVIS Corporate Canarias! Si necesitas cualquier otra cosa en el futuro, aquí estaré para ayudarte. ¡Que tengas un gran día!
Igualmente !
¡Gracias a ti! Si necesitas cualquier otra cosa en el futuro, aquí estaré para ayudarte. ¡Que tengas un gran día!</t>
  </si>
  <si>
    <t>No es capaz de detectar el problema que tiene el cliente</t>
  </si>
  <si>
    <t>28-09-2025 11:35</t>
  </si>
  <si>
    <t>Una pregunta
Y el coche no cierra
"¡Hola! Soy Corporín, tu asistente virtual de AVIS Corporate en Canarias.
He visto que comentas que el coche no cierra. Para poder ayudarte mejor, ¿puedes confirmarme si el problema es que el botón de abrir/cerrar en la app se queda cargando y no responde, o se trata de otra situación diferente? Así podré darte la solución más adecuada.
¡Gracias!"
El boton queda cargando
Pero es en un parking
Que no hay cobertura
Tiene que ver algo von eso?
"¡Gracias por la información! Por lo que comentas, el botón de abrir/cerrar en la app se queda cargando y además estás en un parking sin cobertura. Esto puede estar relacionado, ya que la app necesita conexión para funcionar correctamente.
Por favor, prueba a reiniciar sesión en la app. Si después de hacer esto el problema continúa, avísame para escalar la incidencia y ayudarte a resolverlo cuanto antes.
Recuerda que actualmente estamos fuera de nuestro horario laboral (lunes a viernes, de 08:00 a 20:00 en Canarias), pero dejaré tu caso preparado para que lo gestionemos en cuanto volvamos a estar operativos.
¿Puedes probarlo y confirmarme si se soluciona?"
Vale y en el caso que no tenga cobertura
No me va a abrir el coche?
Si no tienes cobertura en el parking, la app no podrá comunicarse para abrir el coche, por lo que no podrás abrirlo con la app en esa situación. Te recomiendo asegurarte de tener conexión de datos para usar la llave digital. ¿Necesitas que te ayude con algo más?
Y en el caso de que no pueda abrir el coche me lo podeis abrir a remoto?
Si no puedes abrir el vehículo con la app, primero revisa que tu móvil tenga conexión de datos y Bluetooth/GPS activado. Si sigue sin funcionar, debes llamar al Centro de Atención 24 h al 928 092 337, donde te guiarán para reactivar la llave digital o te proporcionarán asistencia presencial. ¿Necesitas que te ayude con algo más?</t>
  </si>
  <si>
    <t>Sin cobertura, con bluetooth, debe funcionar</t>
  </si>
  <si>
    <t>28-09-2025 18:25</t>
  </si>
  <si>
    <t>Hola
No sé si el coche tiene gasolina o diésel
Los vehículos disponibles en AVIS Corporate Canarias pueden variar en modelo y características, y se asigna uno de la categoría reservada en el punto de entrega. No se especifica en la información si el coche tiene gasolina o diésel. Para detalles específicos sobre el tipo de combustible, te recomiendo consultarlo en la app al momento de la reserva o en la entrega del vehículo. ¿Necesitas que te ayude con algo más?</t>
  </si>
  <si>
    <t>Son todos gasolina actualmente</t>
  </si>
  <si>
    <t>27-09-2025 19:18</t>
  </si>
  <si>
    <t>Buenas tardes
No abre el parking de gran canaria no reconoce la matrícula
¡Hola! Soy Corporín, tu asistente virtual de AVIS Corporate en Canarias. ¿En qué puedo ayudarte hoy?
"He revisado el historial y la configuración de incidencias. El problema que describes (""No abre el parking de Gran Canaria, no reconoce la matrícula"") no encaja exactamente con las subincidencias estándar de ""No puede abrir coche"", ya que está relacionado con el acceso al parking por reconocimiento de matrícula, no con la apertura del vehículo en sí.
Para poder ayudarte correctamente, ¿puedes confirmar si el problema es que:
- No puedes acceder al parking porque la barrera no reconoce la matrícula de tu coche de alquiler,
- O si el problema es que no puedes abrir el coche una vez dentro del parking?
Por favor, indícame cuál de estas situaciones describe mejor tu problema para poder gestionarlo de la forma más adecuada."
No abre el parking car rental
"La barrera no reconoce la
Matrícula de mi coche de alquiler"
"Gracias por la información. Para poder gestionar tu incidencia de acceso al parking de alquiler (barrera que no reconoce la matrícula), ¿podrías facilitarme tu DNI? Así podremos registrar el caso y asegurarnos de que nuestro Call Center te contacte en cuanto estemos en horario laboral.
¿Me lo puedes indicar, por favor?"
43836861B
"Gracias por facilitar tu DNI. Hemos registrado tu incidencia: la barrera del parking de alquiler en Gran Canaria no reconoce la matrícula de tu coche y no puedes acceder.
Actualmente estamos fuera de nuestro horario laboral (lunes a viernes, de 08:00 a 20:00 en Canarias). Se ha enviado tu caso a nuestro Call Center y te llamarán cuando estemos en horario laboral para ayudarte a resolverlo lo antes posible.
¿Necesitas ayuda con algo más?"
No
No me has ayudado
Puedo modificar el horario de entrega del vehículo?
Para antes
"¡Muchas gracias por tu respuesta! Hemos registrado tu incidencia correctamente y nuestro Call Center te contactará en cuanto estemos en horario laboral para ayudarte con el acceso al parking.
Que tengas buena tarde. Si necesitas cualquier otra cosa en el futuro, aquí estaré para ayudarte."
No es posible adelantar la recogida del vehículo desde la app. Para cambiar el horario de entrega a uno anterior, te recomendamos cancelar la reserva actual sin coste (siempre que sea antes de la fecha de inicio) y hacer una nueva reserva con el horario deseado. ¿Necesitas que te ayude con algo más?
Tu solicitud ha sido enviada. Un agente de soporte te atenderá lo antes posible. Gracias por tu paciencia.</t>
  </si>
  <si>
    <t>Segunda parte OK, la primera NOK</t>
  </si>
  <si>
    <t>27-09-2025 18:45</t>
  </si>
  <si>
    <t>No me deja iniciar el vije
No me deja iniciar el viaje
"¡Hola! Soy Corporín, tu asistente virtual de AVIS Corporate en Canarias.
Veo que tienes problemas para iniciar tu viaje. Para poder ayudarte mejor, ¿podrías decirme cuál de estas situaciones describe mejor tu problema?
1. No puedes abrir el coche (ni con llave física ni digital)
2. No aparece la llave digital en tu aplicación
3. El botón de abrir/cerrar se queda cargando y no responde
4. El coche muestra una pantalla verde
5. El coche no detecta la llave aunque estás dentro
Por favor, dime cuál se ajusta más a lo que te ocurre. Así podré darte la mejor solución posible."
"¡Hola! Soy Corporín, tu asistente virtual de AVIS Corporate en Canarias.
He visto que indicas que no puedes iniciar el viaje. Para poder ayudarte mejor, ¿puedes decirme cuál de estas situaciones describe mejor tu problema?
1. El vehículo no está disponible o no lo ves en la app.
2. No aparece la llave digital en la aplicación.
3. El botón de abrir/cerrar se queda cargando y no responde.
4. Ves una pantalla verde en la app o sistema del coche.
Por favor, dime cuál de estas opciones se ajusta más a lo que te ocurre, así podré darte la mejor solución. 
Recuerda que actualmente estamos fuera de nuestro horario laboral (lunes a viernes, de 08:00 a 20:00 en Canarias), pero dejaré tu incidencia registrada para que te contacten lo antes posible."
1
"¡Gracias por tu respuesta! Para poder gestionar tu incidencia correctamente y ayudarte a abrir el coche, por favor, facilítame tu DNI.
En cuanto lo reciba, registraré tu incidencia y nuestro Call Center te llamará cuando estemos en horario laboral (08:00 a 20:00h de lunes a viernes, UTC+1).
¿Puedes indicarme tu DNI, por favor?"
Y4191183E
"¡Gracias por facilitar tu DNI! He registrado tu incidencia: nuestro Call Center te llamará cuando estemos en horario laboral (de lunes a viernes, de 08:00 a 20:00 en Canarias) para ayudarte a resolver el problema con la apertura del coche.
¿Necesitas ayuda con algo más?"
No puedo cancelar una reserva porque no me deja abrir el contrato
"¡Gracias por la información! He registrado tu incidencia: no puedes cancelar la reserva porque no te permite abrir el contrato. Actualmente estamos fuera de nuestro horario laboral (lunes a viernes, de 08:00 a 20:00 en Canarias), pero nuestro equipo de Atención al Cliente te contactará en cuanto estemos disponibles para ayudarte a resolverlo.
¿Necesitas ayuda con algo más?"</t>
  </si>
  <si>
    <t>27-09-2025 17:19</t>
  </si>
  <si>
    <t>Hola
¡Hola! Soy Corporín, tu asistente virtual de AVIS Corporate en Canarias. ¿En qué puedo ayudarte hoy?
No está nuestro coche
"Entiendo que no encuentras el coche en el lugar acordado. Por favor, revisa en el mapa de tu aplicación la ubicación exacta del vehículo, ya que ahí debería aparecerte el punto donde está estacionado.
¿Puedes confirmarme si lo localizas en el mapa o sigues teniendo problemas?"
No está
"He revisado el historial y la incidencia corresponde a ""El coche no aparece"", ya que el cliente ha confirmado que no encuentra el vehículo ni en el lugar acordado ni en el mapa de la aplicación.
Según el procedimiento, el siguiente paso es solicitar el DNI del cliente para poder gestionar la incidencia correctamente. Además, como estamos fuera de horario laboral, una vez recibido el DNI, se enviará la incidencia al Call Center y se informará al cliente de que será contactado cuando estemos en horario laboral.
Mensaje para el cliente:
Por favor, facilítenos su DNI para poder gestionar su incidencia correctamente. Cuando lo recibamos, enviaremos la incidencia a nuestro Call Center y le llamarán cuando estemos en horario laboral (08:00 a 20:00h de lunes a viernes, UTC+1)."
78592898N
"Gracias por facilitarnos tu DNI. Hemos enviado tu incidencia a nuestro Call Center. Te llamarán cuando estemos en horario laboral (de lunes a viernes, de 08:00 a 20:00, hora Canarias) para ayudarte a resolver el problema.
¿Hay algo más en lo que pueda ayudarte?"</t>
  </si>
  <si>
    <t>Le está dictando su propio procedimiento</t>
  </si>
  <si>
    <t>27-09-2025 11:00</t>
  </si>
  <si>
    <t>Hola
Necesito que validen mi documentación en la app de avis corporate para poder hacer una reserva
¡Hola! Soy Corporín, tu asistente virtual de AVIS Corporate en Canarias. ¿En qué puedo ayudarte hoy?
Necesito que validen mi documentación en la app de avis corporate para poder hacer una reserva
Para que validen tu documentación, debes subir tu DNI/pasaporte y carnet de conducir en la app de AVIS Corporate. La validación interna se completa habitualmente en menos de 24 horas y recibirás una notificación cuando tu cuenta esté activa. ¿Necesitas que te ayude con algo más?
Ya lo Subi el otro día y nadie lo validó y necesito un coche para mañana
"Entiendo tu situación: ya subiste la documentación y aún no ha sido validada, lo que te impide reservar un coche para mañana. Para poder ayudarte y priorizar tu caso en cuanto volvamos al horario laboral, ¿podrías facilitarme tu DNI? Así podré registrar la incidencia correctamente y asegurarnos de que se gestione lo antes posible.
Actualmente estamos fuera de nuestro horario laboral (lunes a viernes, de 08:00 a 20:00 en Canarias), pero dejaré tu caso registrado para que lo atiendan en cuanto volvamos a estar operativos. ¿Me indicas tu DNI, por favor?"
71735379N
"Tu caso ha quedado registrado correctamente: hemos notificado al equipo para que prioricen la validación de tu documentación en cuanto volvamos al horario laboral. Te llamarán o contactarán cuando esté gestionado.
¿Necesitas ayuda con algo más?"</t>
  </si>
  <si>
    <t>27-09-2025 12:00</t>
  </si>
  <si>
    <t>Hola. No puedo abrir el coche. Me sale q no tengo viajes y tengo el coche alquilado hasta mañana. Ha sucedido al intentar abrir el coche varias veces
"He revisado tu mensaje y veo que tienes problemas para abrir el coche y la app te indica que no tienes viajes, aunque tu alquiler sigue activo. Para poder ayudarte correctamente, necesito identificar cuál de estas situaciones describe mejor tu problema:
1. El vehículo no aparece como disponible en la app (mensaje tipo “vehículo no disponible”).
2. No aparece la llave digital en la app.
3. El botón de abrir/cerrar se queda cargando y no responde.
4. La pantalla de la app se pone verde.
¿Podrías decirme cuál de estas opciones se ajusta más a lo que te ocurre? Así podré ayudarte de forma más precisa."
La matrícula es 1948 MwL
"¡Gracias por la información de la matrícula! Para poder ayudarte a resolver el problema de apertura del coche, necesito que me indiques cuál de estas situaciones describe mejor lo que te ocurre en la app:
1. El vehículo no aparece como disponible en la app (mensaje tipo “vehículo no disponible”).
2. No aparece la llave digital en la app.
3. El botón de abrir/cerrar se queda cargando y no responde.
4. La pantalla de la app se pone verde.
Por favor, dime cuál de estas opciones se ajusta más a tu caso. Así podré ayudarte de forma precisa en cuanto volvamos a estar en horario laboral (lunes a viernes, de 08:00 a 20:00 en Canarias). ¡Te responderemos lo antes posible!"
El 1
Pone viaje finalizado
"¡Gracias por la información! Para poder gestionar correctamente tu incidencia y ayudarte a abrir el coche, por favor facilítanos tu DNI. Así podremos tramitar tu caso y asegurarnos de que el Call Center te contacte en cuanto volvamos a estar en horario laboral (lunes a viernes, de 08:00 a 20:00 en Canarias).
Quedo pendiente de tu respuesta para continuar con la gestión."
44703154D
"¡Gracias por facilitar tu DNI! He registrado tu incidencia y el Call Center te llamará en cuanto volvamos a estar en horario laboral (de lunes a viernes, de 08:00 a 20:00 en Canarias) para ayudarte a resolver el problema con la apertura del coche.
¿Hay algo más en lo que pueda ayudarte?"
Pero necesitamos abril el coche hoy que es sabado
"Entiendo perfectamente la urgencia de tu situación y lamento mucho las molestias. Actualmente, nuestro equipo solo puede gestionar incidencias en horario laboral (lunes a viernes, de 08:00 a 20:00 en Canarias). He dejado registrada tu incidencia con todos los datos y el Call Center te contactará en cuanto volvamos a estar operativos para ayudarte a abrir el coche lo antes posible.
Si necesitas asistencia urgente fuera de este horario y la situación es crítica, te recomiendo revisar si tienes acceso a asistencia en carretera a través de tu contrato o póliza, ya que nuestro soporte directo no está disponible en fines de semana.
¿Hay algo más en lo que pueda orientarte o alguna otra consulta que tengas?"</t>
  </si>
  <si>
    <t xml:space="preserve">Ha dicho viaje finalizado. </t>
  </si>
  <si>
    <t>26-09-2025 22:21</t>
  </si>
  <si>
    <t>Hola! Se puede dejar el coche en un punto diferente al que se recoge?
No, el vehículo debe recogerse y entregarse en el mismo punto o plaza asignada. ¿Necesitas que te ayude con algo más?
No. Gracias
Gracias a ti. Que tengas un buen día.</t>
  </si>
  <si>
    <t>25-09-2025 22:14</t>
  </si>
  <si>
    <t>No encuentro mi vehículo
"¡Hola! Soy Corporín, tu asistente virtual de AVIS Corporate en Canarias.
Por favor, revisa en el mapa de tu aplicación la ubicación exacta del vehículo. A veces puede estar en una plaza cercana o en una zona diferente a la esperada.
Si después de comprobarlo sigues sin encontrar el coche, avísame para poder ayudarte con los siguientes pasos."
No está donde dice la ubicación
"He revisado el historial y la configuración de incidencias. El caso corresponde a la incidencia ""El coche no aparece"", ya que el cliente indica que no encuentra el vehículo en la ubicación indicada por la app y ya se le pidió revisar el mapa sin éxito.
El siguiente paso, según el procedimiento exacto, es solicitar el DNI del cliente para poder gestionar la incidencia correctamente. Además, como estamos fuera del horario laboral (jueves, 25 de septiembre de 2025, 22:14), una vez recibido el DNI, se enviará la incidencia al Call Center y se informará al cliente que le llamarán en horario laboral.
Mensaje para el cliente:
---
Lamento que sigas sin localizar el vehículo. Para poder gestionar tu incidencia correctamente, ¿podrías facilitarme tu DNI, por favor? Una vez lo reciba, enviaré la incidencia a nuestro Call Center y te contactarán en cuanto estemos en horario laboral (08:00 a 20:00h de lunes a viernes, UTC+1).
¿Puedes indicarme tu DNI?"
78530655F
"¡Gracias por facilitar tu DNI!
He registrado tu incidencia: nuestro equipo del Call Center te contactará en cuanto estemos en horario laboral (de lunes a viernes, de 08:00 a 20:00 en Canarias) para ayudarte a resolver la situación con tu vehículo.
Si necesitas algo más mientras tanto, dímelo y lo gestiono en cuanto sea posible."</t>
  </si>
  <si>
    <t>Le cuenta el procedimiento</t>
  </si>
  <si>
    <t>25-09-2025 10:56</t>
  </si>
  <si>
    <t>Buenos días, acabo de recibir una reserva de coche para esta mañana que no realicé y me cobraron 30 €. ¿Podrían explicarme qué está pasando?
"¡Hola! Soy Corporín, tu asistente virtual de AVIS Corporate en Canarias. ¿En qué puedo ayudarte hoy?
Sobre tu consulta: parece que has recibido una reserva y un cargo que no reconoces. Para poder ayudarte y revisar lo ocurrido, por favor, cancela la reserva actual y, si necesitas un vehículo, genera una nueva reserva para asignarte otro coche. Además, para poder tramitar la devolución y revisar tu caso, ¿podrías facilitarme tu DNI?
Así podremos gestionar tu incidencia correctamente y darte una solución lo antes posible."
U18R04813J
"¡Gracias por facilitarnos tu DNI! Hemos registrado tu caso y lo hemos enviado a nuestro departamento de Atención al Cliente. En los próximos días se tramitará la devolución correspondiente al cargo no reconocido.
Si necesitas ayuda con otra gestión o tienes alguna otra consulta, estoy aquí para ayudarte."
Ok gracias
"¡Gestión completada! Hemos registrado tu caso y enviado la información a nuestro departamento de Atención al Cliente. En los próximos días se tramitará la devolución correspondiente.
¿Hay algo más en lo que pueda ayudarte hoy?"
No gracias</t>
  </si>
  <si>
    <t>15-10-2025 09:53</t>
  </si>
  <si>
    <t>hola, buenos dias, se me ha pinchado la rueda necesito ayuda
"¡Hola! Soy Corporín, tu asistente virtual de AVIS Corporate en Canarias.
Por favor, facilítenos la matrícula de su vehículo para poder gestionar su incidencia correctamente."</t>
  </si>
  <si>
    <t>16-10-2025 09:06</t>
  </si>
  <si>
    <t>Cuando intento abrir la llave me pide permiso de ubicación la acepto y me sigue dando error
"¡Hola! Soy Corporín, tu asistente virtual de AVIS Corporate en Canarias. Para poder ayudarte mejor, ¿puedes indicarme cuál de estas situaciones describe mejor tu problema? 
- No aparece la llave digital 
- El botón de abrir/cerrar se queda en carga 
- Aparece una pantalla verde 
- El vehículo no está disponible"</t>
  </si>
  <si>
    <t>16-10-2025 11:25</t>
  </si>
  <si>
    <t>Buenos dias, es posible verificar los documentos rapidamente asi que podemos alquiler un coche ahora mismo
La validación de tu documentación suele completarse en menos de 24 horas tras subirla a la app de AVIS Corporate Canarias. No está disponible un proceso de verificación inmediata para poder alquilar el coche al instante. ¿Necesitas que te ayude con algo más?</t>
  </si>
  <si>
    <t>Estaba en día laboral y horario laboral, debería dar el teléfono de contacto</t>
  </si>
  <si>
    <t>16-10-2025 16:38</t>
  </si>
  <si>
    <t>Hola...
Una duda...
Por favor, indícame con más detalle en qué puedo ayudarte para derivarte al área correcta.
Puedo recoger mi reserva en el aeropuerto de Tenerife Norte y entregarlo en Tenerife sur
"Sí, puedes recoger tu reserva en el aeropuerto de Tenerife Norte y entregarlo en Tenerife Sur. En Tenerife Norte, la flota de AVIS Corporate está en las oficinas frente al aeropuerto en Camino San Lazaro, 142, con servicio de shuttle desde la parada de bus número 15 en la planta baja del aeropuerto. En Tenerife Sur, la entrega se realiza en la Campa de AVIS, accesible mediante un bus lanzadera que parte cada 15 minutos desde el aparcamiento de autobuses E07.
¿Necesitas que te ayude con algo más?"
"No me he explicado bien...
Quiero comenzar mi alquiler en Tenerife Norte y finalizarlo en Tenerife sur"
"Sí, puedes comenzar tu alquiler en Tenerife Norte y finalizarlo en Tenerife Sur. Para recoger el vehículo en Tenerife Norte, la flota de AVIS Corporate está en las oficinas frente al aeropuerto en Camino San Lazaro, 142, con servicio de shuttle desde la parada de bus número 15 en la planta baja del aeropuerto. Para la entrega en Tenerife Sur, se realiza en la Campa de AVIS, accesible mediante un bus lanzadera que parte cada 15 minutos desde el aparcamiento de autobuses E07.
¿Necesitas que te ayude con algo más?"
No...suficiente.
He registrado tu consulta. Si necesitas algo más, aquí estoy para ayudarte.</t>
  </si>
  <si>
    <t>Mal, ya arreglado</t>
  </si>
  <si>
    <t>17-10-2025 10:48</t>
  </si>
  <si>
    <t>Porque no me hace finalizar la reserva de ayer
Parece que el vehículo asignado a su reserva no se encuentra disponible en este momento. Por favor, cancele la reserva actual y genere una nueva para asignarle un nuevo vehículo. Si lo considera oportuno, puede presentar una reclamación escribiendo a este correo: corporate@aviscanarias.es. A fin de poder compensar el viaje inicial no disfrutado, por favor, facilítenos su DNI.
No me hace cancelar, esta desse ayer asi
Para poder ayudarte a cancelar la reserva, por favor, contacta con nuestro equipo de soporte en el 928 092 337.</t>
  </si>
  <si>
    <t>17-10-2025 16:33</t>
  </si>
  <si>
    <t>Hola
¡Hola! Soy Corporín, tu asistente virtual de AVIS Corporate en Canarias. ¿En qué puedo ayudarte hoy?
Gracias
Gracias por tu mensaje. Si necesitas cualquier otra cosa, aquí estaré para ayudarte.
No se por que me aparece canarias
Estoy intentando reservar en USA
Por favor, indícame con más detalle a qué te refieres con que te aparece "canarias" para poder ayudarte mejor.
Lo siento, solo estoy habilitado para ayudarte con consultas o incidencias relacionadas con los servicios de alquiler de vehículos de AVIS Canarias. ¿Hay algo en lo que pueda ayudarte respecto a Canarias?</t>
  </si>
  <si>
    <t>17-10-2025 19:24</t>
  </si>
  <si>
    <t>Hola
¡Hola! Soy Corporín, tu asistente virtual de AVIS Corporate en Canarias. ¿En qué puedo ayudarte hoy?
Mira soy nuevo cliënte y hace 2 dias q estoy subiendo los papales pero no me lo acceptan siempre me lo piden otra ves
Y necesito coche para manana Tenerife sur
Entiendo. Para poder revisar el estado de la validación de tus documentos, por favor, facilítame tu DNI. Mientras tanto, puedes contactar con nuestro equipo de soporte en la dirección de correo electrónico corporate@aviscanarias.es para agilizar el proceso.
Y6478597V
"Entiendo que estás teniendo problemas con la validación de tus documentos. Para poder revisar el estado y ayudarte, por favor, facilítame tu DNI.
Para tu reserva de mañana en Tenerife Sur, una vez que tu documentación esté validada, podrás dirigirte al aparcamiento de autobuses E07 (Cartel azul) al salir de la terminal de pasajeros. Allí encontrarás nuestro bus lanzadera que te llevará a la oficina. Puedes ver la ubicación y el tiempo de llegada del bus aquí: https://trackmyshuttle.com/a/5004"
Y6478597V
Gracias por enviarnos tu DNI. Para poder ayudarte a finalizar la validación de tus documentos, por favor, contacta con nuestro equipo de soporte en el 928 092 337.
Ok
De nada. Si tienes alguna otra pregunta, no dudes en consultarme.
??
Por favor, indícame con más detalle en qué puedo ayudarte para derivarte al área correcta.
Validar mi documentos
La validación de tu documentación se realiza subiendo DNI/pasaporte y carnet de conducir en la App. Suele completarse en menos de 24 h; recibirás una notificación cuando tu cuenta esté activa. ¿Necesitas que te ayude con algo más?
Ya q lo hiso 3 veces y siempre me vuelvan a pedir lo documetos
Se ha enviado su caso a nuestro departamento de Atención al Cliente, en los próximos días se pondrán en contacto con usted.
Pero yo voy manana a Tenerife y necesito coche
Para poder resolver la incidencia con tus documentos y asegurar que puedas recoger tu vehículo mañana, es necesario que contactes con nuestro equipo de soporte en el 928 092 337.</t>
  </si>
  <si>
    <t>18-10-2025 02:35</t>
  </si>
  <si>
    <t>Buenas
¡Hola! Soy Corporín, tu asistente virtual de AVIS Corporate en Canarias. ¿En qué puedo ayudarte hoy?
Parece que me an desactivado mi cuenta
Se ha enviado una incidencia a nuestro Call Center. Le llamarán cuando estemos en horario laboral (08:00 a 20:00h de lunes a viernes, UTC+1).
Parece que me an desactivado mi cuenta
Se ha enviado una incidencia a nuestro Call Center. Le llamarán cuando estemos en horario laboral (08:00 a 20:00h de lunes a viernes, UTC+1).
Buenas
¡Hola! Soy Corporín, tu asistente virtual de AVIS Corporate en Canarias. ¿En qué puedo ayudarte hoy?
Que pasa si cancelo mi reserva con ustedes
Que pasa si cancelo mi reserva con ustedes
Puedes cancelar la reserva desde la app de AVIS Corporate Canarias. La cancelación no tiene coste siempre que se realice antes de la fecha de inicio del contrato. Si ya has recogido el vehículo, el servicio se considera consumido y no procede el desistimiento. ¿Necesitas que te ayude con algo más?
"Si cancelas la reserva antes de la fecha de inicio del contrato, no tiene coste.  
Si quieres cambiar la hora de inicio (adelantar la recogida) la App no permite adelantamientos: la recomendación es cancelar la reserva (sin coste si es antes del inicio) y crear una nueva con la hora deseada.  
Si no recoges el vehículo y no avisas, hay 2 h de gracia; pasado ese plazo la reserva se considera ""No-Show"" y se cobrará el importe completo.  
Para realizar la cancelación, utiliza la app de AVIS Corporate Canarias. ¿Necesitas que te ayude con algo más?"
Cuánto tarda el rembolso ?
En la mayoría de los casos el reembolso es inmediato; en ocasiones puede demorarse hasta 10 días, según la entidad bancaria. ¿Necesitas que te ayude con algo más?</t>
  </si>
  <si>
    <t>18-10-2025 11:59</t>
  </si>
  <si>
    <t>Hola, tengo una reserva en Tenerife Norte pero el avión se desvió Tenerife Sur necesito cancelar la reserva es para hacer otra
Parece que el vehículo asignado a su reserva no se encuentra disponible en este momento. Por favor, cancele la reserva actual y genere una nueva para asignarle un nuevo vehículo. Si lo considera oportuno, puede presentar una reclamación escribiendo a este correo: corporate@aviscanarias.es. A fin de poder compensar el viaje inicial no disfrutado, por favor, facilítenos su DNI
2364447392
No me deja cancelar la reserva de la aplicación. Me dice que contacte con asistencia
Se ha enviado su caso a nuestro departamento de Atención al Cliente, en los próximos días se tramitará la devolución.
"Para cancelar su reserva en Tenerife Norte y crear una nueva en Tenerife Sur, por favor, contacte directamente con nuestras oficinas.
*   **Aeropuerto Tenerife Norte:** 672224323
*   **Aeropuerto Tenerife Sur:** 608013023"
El teléfono de la oficina de Javi sur Tenerife no funciona me mandas el correcto
Lamento las molestias. El teléfono correcto de la oficina de AVIS en el Aeropuerto de Tenerife Sur es el 608 013 023. También le facilito el de Tenerife Norte por si lo necesitara: 672 224 323.
Por favor, ayúdame a cancelar mi reserva
"Para cancelar su reserva, por favor, contacte con nuestras oficinas. Le facilito los números de teléfono de Tenerife:
*   **Aeropuerto Tenerife Norte:** 672224323
*   **Aeropuerto Tenerife Sur:** 608013023"</t>
  </si>
  <si>
    <t>Revisar posibilidad de mejorarar proceso con reservas ya iniciadas</t>
  </si>
  <si>
    <t>18-10-2025 17:49</t>
  </si>
  <si>
    <t>Hola
No me valida el DNI ni el carnet de conducir
Lo he intentado 5 veces
Para poder ayudarte, por favor envía una foto de tu DNI y carnet de conducir a corporate@aviscanarias.es. Una vez que lo recibamos, podremos validar tus documentos y solucionar la incidencia.
"¡Hola! Soy Corporín, tu asistente virtual de AVIS Corporate en Canarias.
Entiendo que estás teniendo problemas con la validación de tu documentación. El proceso de validación puede tardar hasta 24 horas en completarse.
Si pasado este tiempo sigues teniendo problemas, puedes contactar con nosotros en los siguientes números:
*   Aeropuerto Las Palmas: 670553417
*   Aeropuerto Tenerife Norte: 672224323
*   Aeropuerto Tenerife Sur: 608013023
*   Aeropuerto La Palma: 620823514
*   Aeropuerto Lanzarote: 666565559
*   Aeropuerto Fuerteventura: 606707846"</t>
  </si>
  <si>
    <t>18-10-2025 20:27</t>
  </si>
  <si>
    <t>Buenas noches. Soy usuaria de Avis Corporate, estoy intentando hacer una reserva para mañana de forma urgente y no tengo la documentación actualizada. Necesito esa reserva urgentemente. Que puedo hacer?
"¡Hola! Soy Corporín, tu asistente virtual de AVIS Corporate en Canarias.
Para poder actualizar tu documentación y realizar la reserva, es necesario que contactes directamente con nuestras oficinas.
Puedes llamar a cualquiera de los siguientes números:
*   Aeropuerto Las Palmas: 670553417
*   Aeropuerto Tenerife Norte: 672224323
*   Aeropuerto Tenerife Sur: 608013023
*   Aeropuerto La Palma: 620823514
*   Aeropuerto Lanzarote: 666565559
*   Aeropuerto Fuerteventura: 606707846"</t>
  </si>
  <si>
    <t>19-10-2025 08:35</t>
  </si>
  <si>
    <t>Hola! Cuánto se tarda la validación de mi documentación?
La validación de tu documentación suele completarse en menos de 24 h tras subirla a la App. Recibirás una notificación o email cuando tu cuenta esté activa. ¿Necesitas que te ayude con algo más?</t>
  </si>
  <si>
    <t>19-10-2025 19:17</t>
  </si>
  <si>
    <t>Tengo que pasar por alguna oficina antes de recoger el coche
No; no necesitas pasar por una oficina antes de recoger el coche. Con la llave digital de la App puedes acceder al coche 24/7, aunque no haya personal en la oficina. Sin embargo, verifica el horario del aparcamiento donde esté el vehículo para asegurar que puedes acceder. ¿Necesitas que te ayude con algo más?
El pago es automático cuando recoja el coche ?
Usamos principalmente tarjeta de crédito para todos los cargos. Para formalizar la reserva debes presentar una tarjeta de crédito a tu nombre para bloquear la fianza. El pago final se realiza al devolver el coche (por ejemplo, si el tiempo excede lo reservado). No es necesario un depósito inicial. ¿Necesitas que te ayude con algo más?
No ,gracias
Perfecto, gracias. Que tengas un buen día.</t>
  </si>
  <si>
    <t>Revisar respuesta del pago. Ok pero mejorable.</t>
  </si>
  <si>
    <t>19-10-2025 22:31</t>
  </si>
  <si>
    <t>¡Hola! Soy Corporín, tu asistente virtual de AVIS Corporate en Canarias. ¿A qué se refiere con cambiar la reserva? ¿Quiere ampliarla o quiere adelantar la recogida del vehículo?
"Nº de reserva: 889002306700
Nº de alquiler: 28441549CO3"
Uno para 7 puesto
Parece que el vehículo asignado a su reserva no se encuentra disponible en este momento. Por favor, cancele la reserva actual y genere una nueva para asignarle un nuevo vehículo. Si lo considera oportuno, puede presentar una reclamación escribiendo a este correo: corporate@aviscanarias.es. A fin de poder compensar el viaje inicial no disfrutado, por favor, facilítenos su DNI.
72286488
Se ha enviado su caso a nuestro departamento de Atención al Cliente, en los próximos días se tramitará la devolución.
Es para cambiar de tamaño
"Para poder realizar un cambio en la reserva, le recomendamos que llame a una de nuestras oficinas. Aquí tiene los números de contacto:
*   Aeropuerto Las Palmas: 670553417
*   Aeropuerto Tenerife Norte: 672224323
*   Aeropuerto Tenerife Sur: 608013023
*   Aeropuerto La Palma: 620823514
*   Aeropuerto Lanzarote: 666565559
*   Aeropuerto Fuerteventura: 606707846"
Pero el cambio es en Orlando florida
Lo siento, solo estoy habilitado para ayudarte con consultas o incidencias relacionadas con los servicios de alquiler de vehículos de AVIS Canarias.</t>
  </si>
  <si>
    <t>19-10-2025 23:40</t>
  </si>
  <si>
    <t>Hola
Me puedes ayudar a encontrar mi coche en el parking
¡Hola! Soy Corporín, tu asistente virtual de AVIS Corporate en Canarias. ¿En qué puedo ayudarte hoy?
Me ayudas a encontrar mi coche
Por favor, inicie la reserva y revise en el mapa de su aplicación, donde se indica la ubicación exacta del vehículo.
Ya he iniciado la eeserva
Como localizó el coche
Por favor, revisa en el mapa de tu App de AVIS Corporate Canarias: ahí verás la ubicación exacta del vehículo. ¿Necesitas que te ayude con algo más?
Si ya
Abre la app y en tu reserva consulta el mapa: ahí verás la ubicación exacta del vehículo y la plaza asignada. Con la llave digital de la app puedes acceder al coche 24/7. Si no puedes abrirlo, comprueba que tienes datos y Bluetooth/GPS activados; si sigue sin funcionar llama al Centro de Atención 24 h: 928 092 337. ¿Necesitas que te ayude con algo más?
Hola. ¿En qué ubicación recogiste el coche (por ejemplo: Aeropuerto Tenerife Sur, Aeropuerto Gran Canaria, Parking Indigo Triana, Sholeo Lodges Las Palmas, etc.)? Con esa información te indico exactamente en qué plazas o dónde está en el parking. ¿Necesitas que te ayude con algo más?</t>
  </si>
  <si>
    <t>20-10-2025 15:58</t>
  </si>
  <si>
    <t>"Hola,
Tengo problemas para subir mi DNI y carnet de conducir. 
He hablado la semana pasada con un asistente y me ha dicho que ya estaba arreglado el problema, pero continúo sin poder reservar coche….
Puede ayudarme?"
¡Hola! Soy Corporín, tu asistente virtual de AVIS Corporate en Canarias. Siento que estés teniendo problemas para subir tus documentos. Para poder ayudarte, por favor, facilítame tu DNI.
32649543P</t>
  </si>
  <si>
    <t>No sigue la conversación con el cliente.</t>
  </si>
  <si>
    <t>22-10-2025 01:14</t>
  </si>
  <si>
    <t>Hola, tengo la siguiente pregunta
Por favor, indícame con más detalle en qué puedo ayudarte para derivarte al área correcta.
Puedo alquilar un coche automático?
No estoy capacitado para responder esa pregunta específica ya que no aparece en la información que tengo disponible. ¿Puedo ayudarte con alguna otra consulta sobre nuestros servicios en Canarias?
No
Hola. AVIS Corporate Canarias dispone de una flota variada (compactos, berlinas, SUV y monovolúmenes). Los modelos cambian según disponibilidad, pero normalmente encontrarás opciones como Škoda Kamiq, Hyundai i20, Volkswagen T‑Cross o Volkswagen Taigo. Para ver disponibilidad en tiempo real, utiliza la App de AVIS Corporate Canarias. ¿Necesitas que te ayude con algo más?
No
AVIS Corporate Canarias dispone de una flota variada (compactos, berlinas, SUV y monovolúmenes). Los modelos cambian según disponibilidad. Para ver en tiempo real qué vehículos hay libres, utiliza la App de AVIS Corporate Canarias.</t>
  </si>
  <si>
    <t>Respuesta a destiempo. Añadir al FAQ sobre automáticos.</t>
  </si>
  <si>
    <t>22-10-2025 11:30</t>
  </si>
  <si>
    <t>Hola
¡Hola! Soy Corporín, tu asistente virtual de AVIS Corporate en Canarias. ¿En qué puedo ayudarte hoy?
Tenía una reserva y me la cancelaron antes de poder usarla
Tenía una reserva y me la cancelaron antes de poder usarla
Lamentamos lo ocurrido con su reserva. Parece que el vehículo asignado no estaba disponible y la reserva fue cancelada. Por favor, cancele la reserva actual y genere una nueva para poder asignarle otro vehículo. Si desea presentar una reclamación, puede escribir a corporate@aviscanarias.es. Para poder compensar el viaje no disfrutado, facilítenos su DNI.
78536621q
Se ha enviado su caso a nuestro departamento de Atención al Cliente. En los próximos días se tramitará la devolución.</t>
  </si>
  <si>
    <t>22-10-2025 12:41</t>
  </si>
  <si>
    <t>Cómo abrir coche
Para abrir el coche, usa la llave digital en la App de AVIS Corporate Canarias. Si no funciona, comprueba que tienes conexión de datos y Bluetooth/GPS activado en tu móvil. Si sigue sin abrirse, llama al Centro de Atención 24 h y te guiarán para reactivar la llave digital o te darán asistencia presencial. ¿Necesitas que te ayude con algo más?</t>
  </si>
  <si>
    <t>22-10-2025 12:49</t>
  </si>
  <si>
    <t>hemos ingresado los documentos correctos
pueden aceptarlos?
Hemos recibido correctamente sus documentos. Si necesita cualquier otra gestión, puede contactarnos en el 928 092 337.
Hola. Si habéis subido el DNI/pasaporte y el carnet de conducir en la App, la validación interna suele completarse en menos de 24 h. Recibiréis un email o notificación cuando la cuenta esté activa. ¿Necesitas que te ayude con algo más?
¿no podemos aceptarlos antes de 24 horas?
necesitamos el coche lo antes posible
La validación interna suele completarse en menos de 24 h tras subir el DNI/pasaporte y el carnet de conducir en la App. Recibiréis un email o notificación cuando la cuenta esté activa. ¿Necesitas que te ayude con algo más?
La validación de tu documentación suele completarse en menos de 24 h tras subirla a la App. Recibiréis un email o notificación cuando la cuenta esté activa. ¿Necesitas que te ayude con algo más?</t>
  </si>
  <si>
    <t>22-10-2025 20:57</t>
  </si>
  <si>
    <t>Hola
Disculpe
He cerrado sin querer el contrato del coche
Por favor, indíqueme con más detalle en qué puedo ayudarle para derivarle al área correcta.
"En el caso de que haya cerrado el contrato del coche por error, necesitamos generarle una nueva reserva con el vehículo que tenía en uso. Le recomiendo que llame al número de asistencia correspondiente según su ubicación:
Aeropuerto Las Palmas: 670553417
Aeropuerto Tenerife Norte: 672224323
Aeropuerto Tenerife Sur: 608013023
Aeropuerto La Palma: 620823514
Aeropuerto Lanzarote: 666565559
Aeropuerto Fuerteventura: 606707846
Le ayudarán a resolverlo de inmediato."</t>
  </si>
  <si>
    <t>22-10-2025 22:44</t>
  </si>
  <si>
    <t>Buenas
¡Hola! Soy Corporín, tu asistente virtual de AVIS Corporate en Canarias. ¿En qué puedo ayudarte hoy?
No he podido modificar el coche hasta mañana
Me sale que está reservado
Pero yo vivo lejos del aeropuerto
"¿Podrías aclararme si te refieres a que no has podido modificar tu reserva para cambiar el coche, o si tienes algún problema con el vehículo actualmente asignado? Así podré ayudarte de forma más precisa. Si lo prefieres, también puedes contactar directamente con nuestras oficinas en horario laboral:
Aeropuerto Las Palmas: 670553417
Aeropuerto Tenerife Norte: 672224323
Aeropuerto Tenerife Sur: 608013023
Aeropuerto La Palma: 620823514
Aeropuerto Lanzarote: 666565559
Aeropuerto Fuerteventura: 606707846"
Así que no puedo tráelo esta noche
Parece que el vehículo que intentas modificar está reservado y no disponible para cambios en este momento. Si necesitas un coche diferente para mañana, te recomiendo cancelar la reserva actual y crear una nueva para poder asignarte otro vehículo. Si lo deseas, puedes presentar una reclamación escribiendo a corporate@aviscanarias.es. Para poder compensar el viaje inicial no disfrutado, por favor, facilítame tu DNI.
Pero no vivo en el aeropuerto
Estoy a 1h del aeropuerto
Y ahora no voy a subir hasta aeropuerto
"Entiendo que estás a una hora del aeropuerto y no puedes modificar la reserva para devolver el coche esta noche porque el sistema indica que está reservado. Si necesitas devolver el vehículo mañana o cambiar la reserva, lo más recomendable es cancelar la actual y crear una nueva para poder asignarte otro coche. Si quieres que valoremos una compensación por el viaje no realizado, por favor, facilítame tu DNI. 
Si prefieres atención telefónica, puedes contactar con nuestras oficinas en horario laboral:
Aeropuerto Las Palmas: 670553417
Aeropuerto Tenerife Norte: 672224323
Aeropuerto Tenerife Sur: 608013023
Aeropuerto La Palma: 620823514
Aeropuerto Lanzarote: 666565559
Aeropuerto Fuerteventura: 606707846"
Entiendo que no puedes acercarte al aeropuerto esta noche y que la reserva actual no te permite modificar el coche hasta mañana. Si el vehículo asignado no está disponible y necesitas un coche diferente, te recomiendo cancelar la reserva actual y crear una nueva para mañana. Si quieres presentar una reclamación o solicitar una compensación por el viaje no realizado, por favor, facilítame tu DNI para tramitarlo con nuestro departamento de Atención al Cliente.</t>
  </si>
  <si>
    <t>23-10-2025 06:44</t>
  </si>
  <si>
    <t>En qué zona retiro el coche que tengo alquilado?
Vuelo en el primer avión de Gran Canaria a Lanzarote
Hola. La zona de recogida depende del punto de entrega. ¿En qué aeropuerto o ubicación tienes la reserva para indicarte la plaza/office exacta? ¿Necesitas que te ayude con algo más?
En el Aeropuerto de Gran Canaria, en llegadas insulares, toma la primera salida y sigue las instrucciones hasta llegar al parking exterior de rent a car. Encontrarás nuestros vehículos en las plazas de AVIS Corporate. ¿Necesitas que te ayude con algo más?
Y en el aeropuerto de Lanzarote?
"En el Aeropuerto de Lanzarote encontrarás nuestra flota en las oficinas en Av. Mamerto Cabrera, 86 (35509 Arrecife). Hay un shuttle cada 10 minutos desde la parada del Meeting Point.
Para llegar al Meeting Point:
1) Sube a la planta superior en la zona de llegadas.  
2) Sal de la terminal y cruza hacia la acera del parking público de la T1.  
3) Dirígete al área A, extremo derecho del parking superior de la T1, fila 11.  
4) Verás una caseta blanca con nuestro personal.
Horario shuttle: lunes a domingo de 7:00 a 22:00.  
¿Necesitas que te ayude con algo más?"</t>
  </si>
  <si>
    <t>Faltó URL del Shuttle</t>
  </si>
  <si>
    <t>23-10-2025 17:22</t>
  </si>
  <si>
    <t>Hola buenas tardes
¡Hola! Soy Corporín, tu asistente virtual de AVIS Corporate en Canarias. ¿En qué puedo ayudarte hoy?
Quería preguntar si se puede dejar en un lugar distinto a la recogida?
No. Todos los vehículos deben entregarse al finalizar su alquiler en la misma ubicación en la que se recogieron. Debes finalizar el alquiler sobre las plazas de AVIS Corporate asignadas en dicho parking. ¿Necesitas que te ayude con algo más?
No gracias
Perfecto, gracias. Hasta luego.</t>
  </si>
  <si>
    <t>25-10-2025 09:56</t>
  </si>
  <si>
    <t>Hello, ı need to rent a car
But ı do not know where to rent
Hola, disponemos de una flota variada: turismos compactos, berlinas, SUV y monovolúmenes (p. ej. Škoda Kamiq, Hyundai i20, Volkswagen T‑Cross o Volkswagen Taigo). Los modelos pueden variar según disponibilidad; para ver los vehículos libres en tiempo real, por favor utiliza la App de AVIS Corporate y selecciona tus fechas. ¿Necesitas que te ayude con algo más?
Puedes recoger un vehículo en varios puntos de AVIS Corporate en Canarias. Si estás en un aeropuerto, normalmente hay oficinas o plazas señalizadas (por ejemplo, Tenerife Norte, Tenerife Sur, Gran Canaria, Fuerteventura, Lanzarote y La Palma). Para ver ubicaciones concretas y horarios, por favor utiliza la app de AVIS Corporate Canarias. La web es solo informativa. ¿Necesitas que te ayude con algo más?</t>
  </si>
  <si>
    <t>Sigue sin responder en el idioma correcto</t>
  </si>
  <si>
    <t>25-10-2025 10:53</t>
  </si>
  <si>
    <t>Buenos días, si reservo la recogida de un coche en un parking, después puedo dejarlo en un parking distinto?
Por ejemplo, puedo cogerlo en el aparcamiento del puerto y después dejarlo en el aparcamiento del aeropuerto?
No. Todos los vehículos deben entregarse en la misma ubicación en la que se recogieron. Debes finalizar el alquiler sobre las plazas de AVIS Corporate asignadas en ese parking. ¿Necesitas que te ayude con algo más?
Buenos días. No; todos los vehículos deben devolverse en la misma ubicación donde se recogieron. Debes finalizar el alquiler sobre las plazas de AVIS Corporate asignadas en ese parking. ¿Necesitas que te ayude con algo más?</t>
  </si>
  <si>
    <t>25-10-2025 11:17</t>
  </si>
  <si>
    <t>Hola
¡Hola! Soy Corporín, tu asistente virtual de AVIS Corporate en Canarias. ¿En qué puedo ayudarte hoy?
Alquiler por horas
"La tarifa se calcula por tiempo de uso. En la tarifa corporativa están incluidos el alquiler base por tiempo de uso, seguro a terceros, asistencia en carretera 24 h, kilometraje ilimitado e impuestos/tasas. Pagas únicamente por el tiempo realmente usado (si devuelves antes no hay penalización). Puedes ampliar la reserva desde la App —la prórroga se factura por horas y debe solicitarse con al menos 1 h antes de la devolución prevista—; la función de “Pausa” no existe, así que el tiempo sigue cobrando hasta que finalices la reserva en la App.  
Para gestionar horarios o ampliar la reserva, por favor utiliza la app de AVIS Corporate Canarias. ¿Necesitas que te ayude con algo más?"
Gasolina por horas
La política de combustible es "mismo nivel": debes recoger y devolver el vehículo con el mismo nivel de combustible. Si lo devuelves con menos, AVIS repostará y aplicará un recargo por gestión. Los cargos (incluido el repostaje) se realizan principalmente con tarjeta de crédito. ¿Necesitas que te ayude con algo más?
Devolver aparcamiento
Plaza devolver
No. Debes devolver el vehículo en la misma ubicación donde lo recogiste y finalizar la entrega sobre las plazas asignadas de AVIS Corporate. Finaliza la devolución en la App. ¿Necesitas que te ayude con algo más?
Debes devolver el vehículo en la misma plaza de AVIS Corporate donde lo recogiste (misma ubicación y plaza asignada). Finaliza la devolución en la App para cerrar el alquiler. ¿Necesitas que te ayude con algo más?</t>
  </si>
  <si>
    <t>26-10-2025 08:57</t>
  </si>
  <si>
    <t>Hola, me enviaron la factura a mi nombre en vez de al de la empresa
"Para solicitar que la factura esté a nombre de tu empresa, por favor indícanos el nombre fiscal correcto y el CIF/NIF de la empresa. Gestionaremos la modificación y te enviaremos la factura rectificada.
Si necesitas que lo gestionemos de forma urgente por teléfono, puedes contactar con los siguientes números, según la isla donde hiciste la reserva:
Aeropuerto Las Palmas: 670553417
Aeropuerto Tenerife Norte: 672224323
Aeropuerto Tenerife Sur: 608013023
Aeropuerto La Palma: 620823514
Aeropuerto Lanzarote: 666565559
Aeropuerto Fuerteventura: 606707846"
Nec Active S.L.
B98465073
Para poder emitir la factura a nombre de tu empresa necesitamos el CIF/NIF de la misma. Por favor, indícanos el CIF/NIF de Nec Active S.L. y gestionaremos el envío de la factura rectificada lo antes posible.
"Hemos recibido los datos para corregir la factura y la gestionaremos para que figure a nombre de Nec Active S.L. (CIF: B98465073). En breve recibirás la factura rectificada.
Si necesitas hablar con un operador para una gestión urgente, puedes llamar a:
Aeropuerto Las Palmas: 670553417
Aeropuerto Tenerife Norte: 672224323
Aeropuerto Tenerife Sur: 608013023
Aeropuerto La Palma: 620823514
Aeropuerto Lanzarote: 666565559
Aeropuerto Fuerteventura: 606707846"</t>
  </si>
  <si>
    <t>26-10-2025 10:23</t>
  </si>
  <si>
    <t>Hola
¡Hola! Soy Corporín, tu asistente virtual de AVIS Corporate en Canarias. ¿En qué puedo ayudarte hoy?
Tengo un paroblema, me cobraron 26€ y mi factura es de 20,16
"En breve nuestro equipo revisará el cargo. Por favor, envíe una copia de su factura y el comprobante de cobro de 26€ a corporate@aviscanarias.es para que puedan analizarlo. Si lo prefiere, también puede llamar durante el horario laboral a uno de nuestros números según su aeropuerto de recogida:
Aeropuerto Las Palmas: 670553417  
Aeropuerto Tenerife Norte: 672224323  
Aeropuerto Tenerife Sur: 608013023  
Aeropuerto La Palma: 620823514  
Aeropuerto Lanzarote: 666565559  
Aeropuerto Fuerteventura: 606707846
Gracias por su paciencia."</t>
  </si>
  <si>
    <t>26-10-2025 18:44</t>
  </si>
  <si>
    <t>Hi
Español ?
¡Hola! Soy Corporín, tu asistente virtual de AVIS Corporate en Canarias. Claro, podemos continuar en español. ¿En qué puedo ayudarte hoy?
Hola es que acabé de registrarme en aplicación de avis y dice validación pendiente
Y debo alquilar un coche
"Tu registro en la aplicación está pendiente de validación. En algunas ocasiones este proceso puede tardar un poco en completarse. Si pasadas unas horas el estado no cambia o necesitas usar el servicio con urgencia, te recomiendo que llames a nuestro equipo de atención telefónica para ayudarte de manera inmediata. 
Aeropuerto Las Palmas: 670553417
Aeropuerto Tenerife Norte: 672224323
Aeropuerto Tenerife Sur: 608013023
Aeropuerto La Palma: 620823514
Aeropuerto Lanzarote: 666565559
Aeropuerto Fuerteventura: 606707846
Si tienes cualquier otra consulta o si la validación no se completa, por favor házmelo saber."
No tengo forma de comunicarme a esos teléfonos
Que otra forma de comunicación hay
La validación de tu documentación suele completarse en menos de 24 h tras subirla a la App. ¿Necesitas que te ayude con algo más?
No gracias
Puedes comunicarte por email a corporate@aviscorporatecanarias.com o solicitando la hoja de reclamaciones en cualquier oficina AVIS. ¿Necesitas que te ayude con algo más?
No gracias
No estoy capacitado para responder esa pregunta específica ya que no aparece en la información que tengo disponible.
Perfecto. Ten en cuenta que la validación suele completarse en menos de 24 h tras subir la documentación en la App. Si finalmente necesitas usar el servicio, realiza las gestiones desde la App.</t>
  </si>
  <si>
    <t>Respuestas a destiempo</t>
  </si>
  <si>
    <t>27-10-2025 08:26</t>
  </si>
  <si>
    <t>Porque me han cobrado de más en mi factura?
Para revisar el cobro en su factura, necesitaremos su DNI para localizar correctamente su reserva y revisar el detalle. Por favor, facilite su número de DNI.
43381129r
Gracias por facilitar su DNI. Estamos revisando su factura y el cobro realizado. Para una gestión más ágil, le recomendamos que contacte con nuestros operadores en el número 928 092 337, donde podrán informarle en detalle y resolver cualquier discrepancia encontrada.
?
Estamos revisando el detalle de tu factura. Te recomiendo que contactes con nuestros operadores en el número 928 092 337, donde podrán informarte en detalle y resolver cualquier discrepancia que encuentres. ¿Hay algún dato concreto de la factura que quieras que revisemos mientras tanto?
Ya llame
Gracias por la información. Si ya has llamado y tu caso está en revisión, en breve uno de nuestros operadores te dará respuesta. Si tienes alguna consulta específica sobre el importe cobrado o necesitas un detalle concreto de la factura, por favor indícalo para poder ayudarte mejor.
Porque me quieren cobrar 65€ si yo contrate 35€
Entiendo tu preocupación con la diferencia de importe en tu factura. Ya que has contactado con nuestros operadores y tu caso está en revisión, en breve recibirás respuesta por parte de nuestro equipo. Si necesitas información concreta sobre el cargo, indícalo y te ayudaré a revisarlo. Mientras tanto, para cualquier consulta urgente, recuerda que puedes contactar con nosotros en el 928 092 337.
Quiero ver esa factura de 65
Por la app no me deja descargarla
Te hemos enviado la factura al correo que facilitaste durante la reserva. Si no la recibes en unos minutos, por favor revisa tu carpeta de spam o indícanos un correo alternativo para reenviártela. También puedes solicitar una copia contactando directamente con nuestro equipo en el 928 092 337.
Respecto a la descarga de la factura, si la aplicación no te lo permite, puedes solicitar el envío de la factura por correo electrónico llamando directamente a nuestro número de atención 928 092 337, donde te la facilitarán de forma inmediata. Si prefieres, indícame un correo electrónico para tramitar la solicitud en tu nombre.
La factura que me mandan al correo me sale en blanco
La factura que te han enviado debería poder visualizarse correctamente. Si te aparece en blanco, te recomiendo que llames a nuestro número de asistencia 928 092 337, donde podrán enviártela de nuevo en el formato adecuado o revisarán la incidencia en el sistema para darte una solución inmediata. Si lo prefieres, indícame un correo electrónico alternativo para reenviártela.
Ni me la han vuelto a enviar
Ahora mismo
Hemos registrado tu incidencia por la factura y el importe facturado. Para obtener una copia válida y visible de tu factura, por favor contacta directamente en el 928 092 337. Nuestro equipo te la facilitará de forma inmediata y revisará el caso. Si lo prefieres, puedes indicarme un correo alternativo para reenviártela también.
Hay un número de teléfono de facturación?
Sí. Puedes llamar al Centro de Atención al 928 092 337. También puedes solicitar la hoja de reclamaciones escribiendo a corporate@aviscorporatecanarias.com. ¿Necesitas que te ayude con algo más?</t>
  </si>
  <si>
    <t>27-10-2025 09:36</t>
  </si>
  <si>
    <t>Buenas, tengo problemas con la app, para abrir y cerrar el coche. Volví a instalar la aplicación y cambie las contraseñas y sigue igual, esta facturada y cobrada
"Para resolver tu incidencia, por favor indícame si lo que sucede es alguna de estas opciones:
- Vehículo no disponible
- No aparece la llave digital
- El botón de abrir/cerrar se queda en carga
- Pantalla verde
Indica cuál se ajusta mejor a tu problema para darte la solución más rápida."
No aparece llave digital, solo franja verxe de abrir y no funciona
"Debe buscar cobertura y abrir la llave digital. Una vez abierta, acérquese al coche y vuelva a intentar abrir y cerrar el vehículo. Revisa esta Foto. 
Si el problema continúa, indícamelo para seguir ayudándote."
Ok en breve lo pruebo
Perfecto, espero tu confirmación tras probarlo. Si el problema persiste, por favor avísame para seguir ayudándote.
Si, gracias
¡Perfecto! Nos alegra saber que el problema se ha resuelto. Si necesitas cualquier otra cosa durante tu alquiler, puedes contactarnos en el teléfono 928 092 337. ¡Buen viaje!</t>
  </si>
  <si>
    <t>28-10-2025 07:04</t>
  </si>
  <si>
    <t>"Hola, buenos días …
Tengo una recogida de un coche ahora a las 8:00…
Por lo que tengo entendido no lo entregan en persona…"
"Buenos días.  
No te preocupes: la entrega suele ser sin personal y puedes acceder al coche con la llave digital de la App 24/7. Aun así, verifica el horario del aparcamiento concreto donde has reservado, porque algunas ubicaciones tienen limitaciones de acceso. ¿Necesitas que te ayude con algo más?"
Y para arrancar también es digital o la llave se encuentra dentro…
Para arrancar, la llave digital de la App permite abrir y usar el vehículo. Si no puedes abrirlo con la App, revisa conexión de datos y Bluetooth/GPS; si sigue sin funcionar, llama al Centro de Atención 24 h (928 092 337). ¿Necesitas que te ayude con algo más?
Si lo entrego antes de la hora prevista, reembolsan la parte proporcional…
No hay penalización: pagarás únicamente por el tiempo realmente usado. Finaliza tu viaje en la App y el sistema recalculará la tarifa proporcional. ¿Necesitas que te ayude con algo más?
A la hora de la entrega lo aparco en el mismo parking donde lo recojo y ya está…
Sí — debes devolver el vehículo en la misma ubicación y plazas asignadas donde lo recogiste. Finaliza el alquiler en la App sobre esas plazas. ¿Necesitas que te ayude con algo más?
"Ok, correcto…
Gracias."
Gracias. ¿Necesitas que te ayude con algo más?</t>
  </si>
  <si>
    <t>28-10-2025 22:27</t>
  </si>
  <si>
    <t>Hola
Me gustaría saber Qué no está incluido si alquilo un coche en tenerife durante 4 dias
Me gustaría saber Qué no está incluido si alquilo un coche en tenerife durante 4 dias
"Hola.  
Lo que NO está incluido (según nuestra tarifa corporativa):
- Extras que añadas (por ejemplo GPS, sillita, etc.).  
- Cobros por devolver el vehículo con menos combustible: AVIS repostará y aplicará un recargo por gestión.  
- Cargos si superas el tiempo reservado: se facturan horas/tiempo extra.  
- Recargo por conductor joven (21–25 años).  
- Cobertura a todo riesgo SIN franquicia: es opcional, no incluida por defecto.  
- Multas de tráfico (AVIS las gestiona y te repercute el importe más gestión).  
- Cargo por suciedad extrema.  
- Penalizaciones por incumplimiento de las normas (subarrendar, uso para carreras, negligencias), que pueden anular el seguro y generar sanciones.  
- No se permiten conductores adicionales: solo el registrado en la app.
¿Necesitas que te ayude con algo más?"
Quiero saber cuánto cuesta el seguro por ser menor de 25 años
No estoy capacitado para responder esa pregunta específica ya que no aparece en la información que tengo disponible. ¿Necesitas que te ayude con algo más?
Si quiero incluir seguro sin franquicia como lo hago?
No estoy capacitado para responder esa pregunta específica ya que no aparece en la información que tengo disponible. ¿Necesitas que te ayude con algo más?</t>
  </si>
  <si>
    <t>Añadir contenido al FAQ</t>
  </si>
  <si>
    <t>29-10-2025 07:21</t>
  </si>
  <si>
    <t>hola, mi nombre es Magnolia Fleitas , tengo una reserva y  es la primera vez y no se exactamente como recoger el coche en aeropuerto de Fuerteventurs
"Hola Magnolia. En el Aeropuerto de Fuerteventura encontrarás tu vehículo en el parking de ""rent a car"", en las plazas señalizadas para AVIS Corporate. El servicio es 24/7 (Dirección: Aeropuerto Matorral, 35610). 
- Accede al coche con la llave digital desde la App (puedes recogerlo y devolverlo 24/7).  
- Antes de salir, inspecciónalo y, si ves daños, regístralos en la App y haz fotos.  
- Tienes 2 h de gracia desde la hora de inicio programada; si no inicias el alquiler y no avisas, la reserva puede considerarse No‑Show.  
- Si la App no abre el vehículo, llama al Centro de Atención 24 h: 928 092 337.
¿Necesitas que te ayude con algo más?"
me confirmas reserva porque anoche la hice y ahora me pone otra cosa y me dice q alho ha fallado😫 4147NBD
Se ha enviado una incidencia a nuestro Call Center. Le llamarán cuando estemos en horario laboral (08:00 a 20:00h de lunes a viernes, UTC+1).</t>
  </si>
  <si>
    <t>29-10-2025 09:42</t>
  </si>
  <si>
    <t>Hola! Cuando reservo un coche y me cobran el dinero, luego me lo devuelven?
Hola. Si corresponde una devolución, el plazo depende de tu entidad bancaria: la mayoría la procesa de manera inmediata, aunque en algunos casos puede demorarse hasta 10 días. Ten en cuenta que los cargos se realizan principalmente en tarjeta de crédito. ¿Necesitas que te ayude con algo más?
Nose si me han devuelto el dinero de los coches que he reservado.
El plazo habitual para la devolución del importe depende de tu banco: la mayoría realiza el reembolso de manera inmediata, pero en algunos casos puede tardar hasta 10 días. Si ha pasado ese tiempo desde tu cancelación y todavía no ves la devolución, te recomiendo revisar el historial de tu cuenta bancaria y, si lo consideras necesario, contactar directamente con tu banco. Para cualquier duda, también puedes contactarnos en el 928 092 337.</t>
  </si>
  <si>
    <t>29-10-2025 10:33</t>
  </si>
  <si>
    <t>O algo
Por favor, indícame con más detalle en qué puedo ayudarte para derivarte al área correcta.
Me cree la cuenta y e puesto todos los datos perfectos y nada
Tiene que Aver algún error
En la paguina
Para poder ayudarte con tu cuenta, ¿podrías indicarme si te aparece algún mensaje de error al intentar iniciar sesión o finalizar el proceso? Si puedes, dime también si has recibido algún correo de confirmación al crear la cuenta.
Veo que estás teniendo problemas para completar el registro en la página tras introducir todos los datos correctamente. Te recomiendo que llames a nuestro servicio de atención al cliente en el 928 092 337 para que puedan revisar tu caso en detalle y ayudarte a finalizar el proceso.</t>
  </si>
  <si>
    <t>29-10-2025 10:53</t>
  </si>
  <si>
    <t>Como se puede cancelar el coche
"Hola. 
Para cancelar la reserva, por favor utiliza la app de AVIS Corporate Canarias. La cancelación no tiene coste siempre que se realice antes de la fecha de inicio del contrato. Una vez cancelada podrás crear una nueva reserva con la hora deseada. ¿Necesitas que te ayude con algo más?"</t>
  </si>
  <si>
    <t>29-10-2025 11:21</t>
  </si>
  <si>
    <t>"Hello!
I am trying to book a car through the app but it’s showing an error and when i try calling it says “this option is not available”"
Hello! It seems there is an error when booking a car through the app and the phone option is not available at the moment. Please try making your reservation using our website. If you still have issues, call our support team at 928 092 337 (working hours). If the problem persists, let me know and I will help you further.
That’s the number i called and it is not working
I'm sorry for the inconvenience. Since the phone line isn't working and the app is showing an error, please try to book through our website if you haven't already. If the issue continues, can you please let me know the exact error message you see in the app? This will help us resolve your booking problem as quickly as possible.
the error says “there is an issue with your booking please contact us”
"Thank you for the information. Please try making your booking directly on our website if you haven't already. If the problem still appears on the website or you receive the same error message, let me know so we can escalate your issue for further support.
If you prefer, you can also reach us during working hours at 928 092 337, but if the phone line persists with issues, confirming the website result will help us solve it faster."
"okay the phone worked 
thank you"
I'm glad to hear the phone worked and your query is resolved. If you need help again, just let us know. Have a great day!
"i can’t login through the “avis corporate” website
when i try to log in in the “avis car hire” website it says there is no account with that email even if i have an account in the avis corporate app"
"Thank you for the detailed information. Since you can't log in with your corporate account on either the app or the ""avis corporate"" website, and your email is not recognized on the ""avis car hire"" site, I recommend you contact our customer support directly to resolve your account issue. 
Please call 928 092 337 (AVIS Corporate Canarias support, working hours) so our team can assist you in real time with your booking and account access problem."
the phone isn’t working
Thank you for your patience. Since the phone line is not working and you can’t access your account through the app or website, I will escalate your case internally to resolve the issue as soon as possible. You will be contacted with assistance. If you have an alternative phone number or email for follow-up, please share it with me.
i will try again with the phone
Thank you for your update. Since you are going to try calling again during working hours, please let me know if the phone line still doesn't work for you or if you continue experiencing issues with your booking or account access. I am here to assist further if necessary.</t>
  </si>
  <si>
    <t>Se indica la posibilidad de gestionar la reserva desde la web</t>
  </si>
  <si>
    <t>29-10-2025 11:31</t>
  </si>
  <si>
    <t>Buenos días, se puede añadir un conductor adicional por si ambos conducimos
No. El único conductor autorizado es la persona registrada en la aplicación. ¿Necesitas que te ayude con algo más?
Ok muchas gracias
Gracias a ti. ¿Necesitas que te ayude con algo más?
No gracias
Gracias a ti. ¿Necesitas que te ayude con algo más?</t>
  </si>
  <si>
    <t>29-10-2025 12:10</t>
  </si>
  <si>
    <t>Tenía la reserva a las 10 y está cancelada desde 9 y no mi deja
Si tu reserva fue cancelada antes de la hora de inicio y no puedes hacer una nueva, por favor contacta directamente con nuestro equipo de AVIS Corporate Canarias llamando al 928 092 337 para que podamos revisar tu caso y ayudarte a resolverlo rápidamente.</t>
  </si>
  <si>
    <t>29-10-2025 17:59</t>
  </si>
  <si>
    <t>Hola
Tengo un problema
Por favor, indíqueme con más detalle en qué puedo ayudarle para derivarle al área correcta.
Cerré sin querer el contrato
Volví a reservar pero me asigno otra matrícula
En el caso de que haya cerrado sin querer el contrato, necesitamos generarle una nueva reserva con el vehículo que tenía en uso. Por favor, llame al 928 092 337 y le ayudarán a resolverlo de inmediato.
"Entiendo la situación. Si ha realizado una nueva reserva pero le han asignado una matrícula diferente a la anterior y necesita recuperar el mismo vehículo que tenía, le recomiendo que llame al 928 092 337 para que un operador gestione la reasignación y le ayude con el cambio. 
Si desea realizar una reclamación o necesita que gestionemos algún reembolso o ajuste, por favor facilite su DNI y lo gestionaremos."</t>
  </si>
  <si>
    <t>29-10-2025 18:32</t>
  </si>
  <si>
    <t>Hola buenas
¡Hola! Soy Corporín, tu asistente virtual de AVIS Corporate en Canarias. ¿En qué puedo ayudarte hoy?
Y se me ha cerrado el Coche
Y se me termino la reserva
Sin Darle a nada
¿Puede confirmarme si no puede acceder al coche porque la reserva ya ha finalizado? Si es así, para poder ayudarle, indíqueme su DNI.
"Para poder ayudarte, selecciona cuál de estas opciones describe mejor tu problema:
- Vehículo no disponible
- No aparece la llave digital
- El botón de abrir/cerrar se queda en carga
- Pantalla verde
Indica cuál corresponde a tu situación o descríbela un poco más para avanzar lo antes posible."
Y3368145Q
"Gracias por facilitar tu DNI. Para poder ayudarte a abrir el coche, ¿puedes confirmarme cuál de estas opciones se ajusta a tu situación?
- Vehículo no disponible
- No aparece la llave digital
- El botón de abrir/cerrar se queda en carga
- Pantalla verde
Dímelo por favor para que pueda indicarte la solución adecuada."
Vehiculo no disponible
Le recomendamos que llame al siguiente número de asistencia: 928 092 337. Un operador le ayudará a resolver esta incidencia lo antes posible.
No parece la llave digital
Ya he llamado muchas veces
Pero no me responde nadie en este numero
Para el caso de la llave digital que no aparece, debes llamar al 928 092 337 para asistencia inmediata. Un operador te ayudará a resolver el acceso al coche.
Es una mierda de service
Lamento mucho las molestias. Si la llave digital no aparece y ya has intentado contactar varias veces al teléfono 928 092 337 sin respuesta, te recomiendo acercarte directamente a la oficina AVIS más cercana para que puedan ayudarte en persona de inmediato. Si necesitas la ubicación de la oficina o tienes otra consulta, dímelo y te ayudo.
Estoy tirado fuera de ciudad
Tu solicitud ha sido enviada. Un agente de soporte te atenderá lo antes posible. Gracias por tu paciencia.
Como a 50 km
"Debe buscar cobertura y abrir la llave digital. Una vez abierta, acérquese al coche y vuelva a intentar abrir y cerrar el vehículo. Revisa esta Foto. 
Si sigue sin poder acceder o el problema persiste, indíquemelo para pedirle sus datos y tramitar la incidencia."
Es que ya no tengo llave
Me indica que me reserva hasta fonalizado
Mientras mi reserva finaliza a las 20:00
No ahora
Tu reserva indica que está finalizada y no tienes acceso a la llave ni al coche. Para resolverlo, es necesario generar una nueva reserva y asignarte un vehículo operativo. Por favor, llama de inmediato al 928 092 337 donde te atenderán en horario laboral y te ayudarán a continuar tu viaje.
"Entiendo la situación. Actualmente tu reserva sigue activa y no es posible entregar ahora una llave física. Si la llave digital no está disponible y ya no tienes acceso, lo más recomendable es que contactes directamente por teléfono con nuestros operadores llamando al 928 092 337 para asistencia inmediata mientras la reserva siga activa.
Si finalmente necesitas abrir incidencia o gestionar un cambio, indícamelo y te pediré tus datos para ayudarteHola he finalizado mi reserva pero no quiere finalizarla
"Hola, si has finalizado tu reserva pero la aplicación no te permite cerrarla correctamente, te recomiendo que llames directamente a uno de estos teléfonos de asistencia dentro del horario laboral para resolverlo de inmediato:
Aeropuerto Las Palmas: 670 553 417  
Aeropuerto Tenerife Norte: 672 224 323  
Aeropuerto Tenerife Sur: 608 013 023  
Aeropuerto La Palma: 620 823 514  
Aeropuerto Lanzarote: 666 565 559  
Aeropuerto Fuerteventura: 606 707 846
Uno de nuestros operadores te ayudará a cerrar tu reserva correctamente."
Nada no me responde
Llame muchas veces
"Actualmente los teléfonos de asistencia están disponibles y dentro del horario laboral. Recomiendo que llames directamente al número correspondiente al lugar donde realizaste la recogida para recibir ayuda inmediata con el cierre de tu reserva:
Aeropuerto Las Palmas: 670 553 417  
Aeropuerto Tenerife Norte: 672 224 323  
Aeropuerto Tenerife Sur: 608 013 023  
Aeropuerto La Palma: 620 823 514  
Aeropuerto Lanzarote: 666 565 559  
Aeropuerto Fuerteventura: 606 707 846
Si ninguno de estos números responde tras varios intentos, por favor indícalo para que podamos tomar nota y ayudarte por otra vía."
Tu solicitud ha sido enviada. Un agente de soporte te atenderá lo antes posible. Gracias por tu paciencia.
No me responde nadie
"Gracias por la información. Lamento que no consigas respuesta en los teléfonos. Intenta llamar de nuevo ahora, ya que los números indicados están disponibles en este momento:
Aeropuerto Las Palmas: 670 553 417  
Aeropuerto Tenerife Norte: 672 224 323  
Aeropuerto Tenerife Sur: 608 013 023  
Aeropuerto La Palma: 620 823 514  
Aeropuerto Lanzarote: 666 565 559  
Aeropuerto Fuerteventura: 606 707 846
Si ninguno responde tras varios intentos, por favor indícalo para gestionar tu caso por otra vía."."</t>
  </si>
  <si>
    <t>29-10-2025 20:25</t>
  </si>
  <si>
    <t>Hola, finalicé mi viaje y me dejé pertenencias dentro
Por favor, facilítenos su DNI para poder gestionar la recuperación de sus pertenencias correctamente.
78830522T
"Esta incidencia requiere contactar con nuestros operadores. Le recomendamos que llame a uno de los siguientes números de asistencia, según el aeropuerto donde devolvió el vehículo:
Aeropuerto Las Palmas: 670553417
Aeropuerto Tenerife Norte: 672224323
Aeropuerto Tenerife Sur: 608013023
Aeropuerto La Palma: 620823514
Aeropuerto Lanzarote: 666565559
Aeropuerto Fuerteventura: 606707846
Indique su DNI y explique que quiere recuperar las pertenencias olvidadas en su coche de alquiler."
No me contesta
Tu solicitud ha sido enviada. Un agente de soporte te atenderá lo antes posible. Gracias por tu paciencia.
El número de Fuerteventura es erróneo
Disculpe la confusión, el teléfono correcto del Aeropuerto de Fuerteventura es 606707846. Si necesita cualquier otra información, dígamelo y le ayudo.
Ese no es
Gracias por avisar. El teléfono oficial que tenemos registrado para el Aeropuerto de Fuerteventura es el 606707846. Si has llamado y no responde o indica que no es correcto, te aconsejamos acercarte directamente al mostrador de AVIS en el propio aeropuerto para que te ayuden a recuperar tus pertenencias. Si necesitas asistencia adicional, indícalo y lo gestionamos internamente.</t>
  </si>
  <si>
    <t>30-10-2025 14:06</t>
  </si>
  <si>
    <t>Buenas, donde recojo mi coche del aeropuerto de Tenerife sur?
"Al salir de la terminal de pasajeros, dirígete al aparcamiento de autobuses E07 (Cartel azul). Allí encontrarás el bus lanzadera de AVIS que sale cada 15 minutos y en 5 minutos te llevará a la Campa de AVIS, donde recogerás tu vehículo. Puedes ver la ubicación del shuttle y el tiempo estimado en: https://trackmyshuttle.com/a/5004
¿Necesitas que te ayude con algo más?"
y si voy desde Santa Cruz? Hay un bus que me deje ahí?
Si vas desde Santa Cruz puedes tomar el shuttle del aeropuerto de Tenerife Norte: pasa cada 10 minutos por la parada de la planta baja, en la parada de bus número 15, y te lleva a nuestras oficinas en Camino San Lázaro, 142. ¿Necesitas que te ayude con algo más?</t>
  </si>
  <si>
    <t>30-10-2025 22:27</t>
  </si>
  <si>
    <t>Hola, como se puede anadir un conductor addicional?
No. El único conductor autorizado es la persona registrada en la aplicación. ¿Necesitas que te ayude con algo más?
y como se puede anadir uno mas?
No. El único conductor autorizado es la persona registrada en la aplicación. ¿Necesitas que te ayude con algo más?</t>
  </si>
  <si>
    <t>31-10-2025 00:14</t>
  </si>
  <si>
    <t>if i book for more than one day,can i use the parking spot during the night
Yes. Con la llave digital de la App puedes acceder al coche 24/7 durante tu reserva, también por la noche. Sin embargo, verifica el horario del parking concreto donde esté el vehículo, ya que algunos ubicaciones pueden tener acceso limitado. Recuerda que debes recoger y devolver el vehículo en la misma plaza de AVIS Corporate asignada. ¿Necesitas que te ayude con algo más?
if i book and then cancel the rent and never use the car do i get a refund
You have 14 calendar days to withdraw without penalty, provided you have not started your first rental. If you have already picked up the vehicle, the service is considered consumed and withdrawal does not apply. ¿Necesitas que te ayude con algo más?
if i book today for tomorrow and i never use the car and cancel it?
You have 14 calendar days to withdraw without penalty, provided you have not started your first rental. If you already picked up the vehicle, the service is considered consumed and withdrawal does not apply. ¿Necesitas que te ayude con algo más?</t>
  </si>
  <si>
    <t>Spaniglish</t>
  </si>
  <si>
    <t>31-10-2025 00:35</t>
  </si>
  <si>
    <t>Buenas noches
¡Hola! Soy Corporín, tu asistente virtual de AVIS Corporate en Canarias. ¿En qué puedo ayudarte hoy?
El coche no arranca
El coche no arranca. Se ha enviado una incidencia a nuestro Call Center. Le llamarán cuando estemos en horario laboral (08:00 a 20:00h de lunes a viernes, UTC+1).
Y que hago ahora?
"En este momento todos nuestros equipos de asistencia están disponibles solo en horario laboral, de 08:00 a 20:00 de lunes a viernes. Te llamaremos en cuanto volvamos a estar operativos para ayudarte con la avería del coche.
Mientras tanto, si te encuentras en una situación urgente o necesitas asistencia inmediata fuera de este horario, puedes contactar con la oficina o aeropuerto donde realizaste la recogida del vehículo. Si tienes a mano el teléfono de la oficina, puedes intentar comunicarte por esa vía, aunque la atención puede estar limitada durante la noche.
Gracias por tu paciencia, estaremos contigo a la mayor brevedad posible en cuanto comience el horario de atención."
Estoy tirado en la calle,no cogen el teléfono
"Entiendo la situación y lamento lo que estás pasando. En estos momentos, la asistencia está limitada fuera del horario laboral. Si no puedes contactar con la oficina o el aeropuerto donde recogiste el vehículo, te recomiendo esperar hasta que nuestro equipo pueda atenderte a partir de las 08:00. Si tu situación es de urgencia (por ejemplo, riesgo para la salud o seguridad), te aconsejo contactar con los servicios de emergencia locales marcando el 112.
En cuanto abramos, nos pondremos en contacto contigo para ayudarte lo antes posible. Gracias por tu paciencia."
Me pueden ayudar,por favor
"En este momento seguimos fuera del horario laboral, por lo que no podemos proporcionarte asistencia inmediata. Nuestro equipo estará disponible a partir de las 08:00. Si la situación es urgente y afecta a tu seguridad, llama al 112 para emergencias.
En cuanto comience el horario de atención, nos pondremos en contacto contigo para solucionar la incidencia. Lamentamos mucho las molestias y agradecemos tu paciencia."
Esto no es serio,como hago para volver,y no dan una solución
Tu solicitud ha sido enviada. Un agente de soporte te atenderá lo antes posible. Gracias por tu paciencia.
Y cuanto tiempo tengo que esperar?
Se ha enviado una incidencia a nuestro Call Center. Le llamarán cuando estemos en horario laboral (08:00 a 20:00h de lunes a viernes, UTC+1).
"Buenos días 
Todavía sigo esperando"
Ya estamos en horario laboral. Para recibir asistencia directa, por favor llame al 928 092 337. Nuestro equipo le atenderá de inmediato.</t>
  </si>
  <si>
    <t>No muestra tabla de incidencias con posibles soluciones. NO propone llamar a RACE 24/7</t>
  </si>
  <si>
    <t>31-10-2025 22:54</t>
  </si>
  <si>
    <t>Que pasa si lo devuelvo con menos gasolina
Nuestra política de combustible es "mismo nivel": debes devolver el vehículo con el mismo nivel de combustible con el que lo recogiste. Si lo devuelves con menos, AVIS repostará y aplicará un recargo por gestión. ¿Necesitas que te ayude con algo más?
Hemos finalizado y no se ha cerrado el coche , que hacemos ?
Se ha enviado una incidencia a nuestro Call Center. Le llamarán cuando estemos en horario laboral (08:00 a 20:00h de lunes a viernes, UTC+1).
Salía el candado cerrado y por eso hemos dado a finalizar
Se ha enviado una incidencia a nuestro Call Center. Le llamarán cuando estemos en horario laboral (08:00 a 20:00h de lunes a viernes, UTC+1).</t>
  </si>
  <si>
    <t>31-10-2025 23:44</t>
  </si>
  <si>
    <t>No está el coche
"Lamentablemente, en este momento estamos fuera del horario laboral y no podemos atender tu solicitud. Por favor, contacta directamente con la oficina correspondiente cuando esté abierta o, si es urgente, utiliza el teléfono de contacto de la oficina donde realizaste la reserva. 
Gracias por tu comprensión."</t>
  </si>
  <si>
    <t>No muestra tabla de incidencias con posibles soluciones.  No genera mail</t>
  </si>
  <si>
    <t>what does “kilómetros limitados” mean
"""Kilómetros limitados"" no aparece textualmente en la información que tengo disponible.  
En Canarias disfrutas de kilometraje ilimitado en toda la zona. ¿Necesitas que te ayude con algo más?"
"when i go to the chose your vehicle it says 
-combustible:mismo nivel 
-seguro a todo riesgo sin franquicia 
-kilometros limitados"
"- Combustible — ""mismo nivel"": recoges y devuelves con el mismo nivel. Si devuelves con menos, AVIS repostará y aplicará un recargo por gestión.  
- Seguro a todo riesgo sin franquicia: la cobertura a todo riesgo SIN franquicia está disponible de forma opcional; la cobertura incluida por defecto es responsabilidad civil frente a terceros. (Quedan excluidos delitos graves o negligencias intencionadas).  
- Kilómetros limitados: en Canarias disfrutas de kilometraje ilimitado.
¿Necesitas que te ayude con algo más?"</t>
  </si>
  <si>
    <t>No responde en el mismo idioma</t>
  </si>
  <si>
    <t>Where is your key return located in Kansas City. There are several people looking for your kiosk and return canopy.
Hola. Mi asistencia se limita a AVIS Corporate en Canarias. Para Kansas City, consulta directamente con el aeropuerto o su página web oficial. ¿Necesitas que te ayude con algo más?
Speak English
Hello! I am Corporín, your virtual assistant for AVIS Corporate in the Canary Islands. How can I assist you today?</t>
  </si>
  <si>
    <t>"Hola, 
Con qué antelación debe cancelarse una reserva?"
Puedes cancelar la reserva en cualquier momento antes de la fecha de inicio del contrato; si la cancelas antes del inicio no tiene coste. Para realizar esa gestión, por favor utiliza la app de AVIS Corporate Canarias. ¿Necesitas que te ayude con algo más?
Cuál sería la fecha de inicio del contrato para una reserva?
La fecha de inicio del contrato es la fecha y hora que seleccionaste como inicio de la reserva (la "hora de inicio" programada). Si cancelas antes de esa fecha no tiene coste. Para realizar esa gestión, por favor utiliza la app de AVIS Corporate Canarias. ¿Necesitas que te ayude con algo más?
Nada más, muchas gracias.
La validación de tu documentación suele completarse en menos de 24 h tras subirla en la App.</t>
  </si>
  <si>
    <t>"Buenas noches, tenía una reserva y a la hora de cerrar el coche la app se quedó cargando y me finalizó la reserva, sin haberle dado al botón de finalizar, sino al de cerrar.
Que podría hacer? Ya que el coche está abierto y necesito moverme con el."
Se ha enviado una incidencia a nuestro Call Center. Le llamarán cuando estemos en horario laboral (08:00 a 20:00h de lunes a viernes, UTC+1).</t>
  </si>
  <si>
    <t>No pide matrícula</t>
  </si>
  <si>
    <t>what is going on?i booked it yesterday
"Hello. Could you please clarify what issue you are experiencing with your booking? If you booked yesterday and have any problem, let me know if it is related to vehicle pick-up, access, cancellation, or any other specific aspect. If you need to speak to our team, you can call:
Aeropuerto Las Palmas: 670553417  
Aeropuerto Tenerife Norte: 672224323  
Aeropuerto Tenerife Sur: 608013023  
Aeropuerto La Palma: 620823514  
Aeropuerto Lanzarote: 666565559  
Aeropuerto Fuerteventura: 606707846
Let me know the details so I can assist you further."
"the car is here but the app says “someone was faster than you” 
i booked yesterday"
"It appears that another customer was assigned the vehicle before you, which is why the app shows ""someone was faster than you"". Unfortunately, the vehicle is no longer available. Please cancel your current booking and make a new reservation to receive another car. If you wish to file a claim or if you would like compensation for the initial trip, please provide your ID (DNI/passport). 
If you need quick assistance, you can call any of our offices:
Aeropuerto Las Palmas: 670553417
Aeropuerto Tenerife Norte: 672224323
Aeropuerto Tenerife Sur: 608013023
Aeropuerto La Palma: 620823514
Aeropuerto Lanzarote: 666565559
Aeropuerto Fuerteventura: 606707846
Let me know if you want to continue with the claim process."
i paid for the trip,i booked yesterday and the booking went through
"Parece que el vehículo asignado a tu reserva no está disponible a pesar de que la reserva fue confirmada y el pago procesado. Por favor, cancela la reserva actual y genera una nueva para que podamos asignarte otro coche. Si deseas que gestionemos una reclamación o tramitemos una posible compensación, por favor indícanos tu DNI o pasaporte.
Si precisas asistencia inmediata, puedes llamar a cualquiera de nuestras oficinas:
Aeropuerto Las Palmas: 670553417
Aeropuerto Tenerife Norte: 672224323
Aeropuerto Tenerife Sur: 608013023
Aeropuerto La Palma: 620823514
Aeropuerto Lanzarote: 666565559
Aeropuerto Fuerteventura: 606707846"
there is no new car close to here,why was the car assigned to someone else if i booked and paid yesterday?
"I understand your frustration. Even though your booking went through and payment was made, sometimes — due to high demand or system errors — a vehicle may be double-booked or assigned to another customer unexpectedly. That's not the experience we want for you, and I'm sorry for the inconvenience.
There may not be another car available nearby at the moment. Please cancel your current booking in the app so you won't be charged for a service not received, and try creating a new reservation if you see another vehicle that fits your needs.
If you wish to make a claim or request compensation for this issue, please provide your ID (DNI or passport). Our Customer Service team will handle your case and proceed with the appropriate solution.
If you prefer to speak directly to our operators for assistance, you can call:
Aeropuerto Las Palmas: 670553417
Aeropuerto Tenerife Norte: 672224323
Aeropuerto Tenerife Sur: 608013023
Aeropuerto La Palma: 620823514
Aeropuerto Lanzarote: 666565559
Aeropuerto Fuerteventura: 606707846
Let me know how you wish to proceed."</t>
  </si>
  <si>
    <t>hola necesito factura de la reserva CC-Y9EF-R12606
Puedes descargar la factura desde la App: entra en "Historial de alquileres", selecciona la reserva CC-Y9EF-R12606 y pulsa "Descargar factura". También deberías recibir el comprobante por email. ¿Necesitas que te ayude con algo más?
no me deja dice q surge un error
Si la App te da error al intentar descargar la factura, te recomiendo contactar con nuestra oficina del Aeropuerto de Fuerteventura en el 606707846 para asistencia inmediata. También podemos enviarte la factura por email si lo prefieres, solo indícanos el correo al que deseas recibirla.
magnofs@hotmail.com
"Se va a gestionar el envío de tu factura para la reserva CC-Y9EF-R12606 al correo magnofs@hotmail.com. Si en las próximas horas no la recibes, puedes contactar con la oficina del Aeropuerto de Fuerteventura en el 606707846 para ayuda inmediata.
¿Te puedo ayudar con algo más?"</t>
  </si>
  <si>
    <t>Buenas tardes
¡Hola! Soy Corporín, tu asistente virtual de AVIS Corporate en Canarias. ¿En qué puedo ayudarte hoy?
Quiero alquilar un coche hoy, pero están actualizando mi documentación y no puedo hacer la reserva
"Para poder proceder con la reserva, es imprescindible que la documentación esté actualizada y validada. Te recomiendo esperar a que se complete la actualización de tus documentos.
Si necesitas información adicional o gestionar la reserva de forma urgente cuando la documentación esté lista, puedes contactar directamente con la oficina que prefieras:
Aeropuerto Las Palmas: 670 553 417  
Aeropuerto Tenerife Norte: 672 224 323  
Aeropuerto Tenerife Sur: 608 013 023  
Aeropuerto La Palma: 620 823 514  
Aeropuerto Lanzarote: 666 565 559  
Aeropuerto Fuerteventura: 606 707 846
Quedo a tu disposición para cualquier otra consulta."
Llamo y no me contestan en el aeropuerto de Tenerife Norte
"En ocasiones, las líneas pueden estar ocupadas o puede haber retrasos puntuales en la atención telefónica. Si no logras contactar ahora, te recomiendo volver a intentar en unos minutos. También puedes acercarte directamente al mostrador del Aeropuerto de Tenerife Norte para asistencia presencial, si lo prefieres.
Estos son los teléfonos disponibles por si necesitas otra opción:
Aeropuerto Las Palmas: 670 553 417
Aeropuerto Tenerife Norte: 672 224 323
Aeropuerto Tenerife Sur: 608 013 023
Aeropuerto La Palma: 620 823 514
Aeropuerto Lanzarote: 666 565 559
Aeropuerto Fuerteventura: 606 707 846
¿Te ayudo con alguna otra gestión?"</t>
  </si>
  <si>
    <t>Hola tengo canceladas una reserva por ese lunes. Quiero saber si me van a devolver el dinero
"En caso de cancelación de una reserva, se inicia automáticamente el proceso de devolución del importe. Si la cancelación fue realizada por motivos ajenos a usted o por la propia compañía, recibirá el reembolso en el mismo método de pago utilizado. El plazo puede variar según la entidad bancaria, pero normalmente no supera unos días laborables.
Si necesita comprobar el estado de su reembolso o tiene alguna otra consulta, puede ponerse en contacto directamente con la oficina correspondiente:
Aeropuerto Las Palmas: 670553417
Aeropuerto Tenerife Norte: 672224323
Aeropuerto Tenerife Sur: 608013023
Aeropuerto La Palma: 620823514
Aeropuerto Lanzarote: 666565559
Aeropuerto Fuerteventura: 606707846
Si lo desea, puede facilitarme su DNI para revisar el estado específico de su reserva."
Y3782283Q
Se ha enviado su caso a nuestro departamento de Atención al Cliente, en los próximos días se tramitará la devolución.
Ok gracias
De nada. El reembolso suele ser inmediato, aunque puede demorarse hasta 10 días según la entidad bancaria.</t>
  </si>
  <si>
    <t>No puedo abrir vehículo
"Para poder ayudarte mejor, ¿puedes indicarme cuál de estas opciones describe mejor tu problema al intentar abrir el vehículo?
- Vehículo no disponible
- No aparece la llave digital
- El botón de abrir/cerrar se queda en carga
- Pantalla verde
Por favor, dime cuál es tu caso para indicarte los pasos exactos a seguir."
No se me activa localizador para poder abrir vehículo
En el móvil
Por favor, busque cobertura y abra la llave digital en su aplicación. Una vez abierta, acérquese al coche y vuelva a intentar abrir y cerrar el vehículo. Si tras esto sigue teniendo problemas, indíquemelo para poder ayudarle.
"Gracias por la información. Si el localizador no se activa en el móvil para abrir el vehículo, por favor cierra completamente la aplicación y vuelve a abrirla. Asegúrate de que tienes conexión a internet y de que la ubicación esté activada en tu teléfono. Si el problema continúa, reinicia el teléfono y vuelve a intentarlo.
Si tras esto sigues sin poder abrir el coche, contacta directamente con nosotros llamando al teléfono del aeropuerto correspondiente:
- Aeropuerto Las Palmas: 670553417
- Aeropuerto Tenerife Norte: 672224323
- Aeropuerto Tenerife Sur: 608013023
- Aeropuerto La Palma: 620823514
- Aeropuerto Lanzarote: 666565559
- Aeropuerto Fuerteventura: 606707846
Estamos disponibles para ayudarte."</t>
  </si>
  <si>
    <t>Hola
Estoy intentado hacer una reserva pero se está actualizando la documentación y nose lo que tardará . Necesito el vehículo para mañana a primera hora
Estoy intentado hacer una reserva pero se está actualizando la documentación y nose lo que tardará . Necesito el vehículo para mañana a primera hora
"Tu documentación se está actualizando y esto puede demorar que puedas completar la reserva. Si necesitas el vehículo para mañana a primera hora, te recomiendo que contactes directamente con la oficina donde recogerás el coche para comprobar el estado de la documentación y agilizar, si es posible, tu reserva.
Te facilito los teléfonos de contacto según el aeropuerto donde vayas a recogerlo:
Aeropuerto Las Palmas: 670 553 417
Aeropuerto Tenerife Norte: 672 224 323
Aeropuerto Tenerife Sur: 608 013 023
Aeropuerto La Palma: 620 823 514
Aeropuerto Lanzarote: 666 565 559
Aeropuerto Fuerteventura: 606 707 846
Si tienes cualquier otra consulta, dime y te ayudo."
Hola. La validación de la documentación suele completarse en menos de 24 h tras subirla en la App. Recibirás un email o una notificación cuando tu cuenta esté activa. Para realizar esa gestión, por favor utiliza la app de AVIS Corporate Canarias. La web es solo informativa. ¿Necesitas que te ayude con algo más?</t>
  </si>
  <si>
    <t>Hola!
¡Hola! Soy Corporín, tu asistente virtual de AVIS Corporate en Canarias. ¿En qué puedo ayudarte hoy?
He tenido un accidente con un coche avis, yo estando en parada en un paso de peatones un coche me dio por detrás, como debo proceder
Por favor, facilítenos la matrícula de su vehículo para poder gestionar su incidencia correctamente.
6959MJX
Parece que necesita asistencia en carretera. Para ello, llame al servicio en carretera 24/7 de RACE en el siguiente número: 900 112 222.
No necesito asistencia
como hago el parte o a quien se lo envio
"Hemos registrado el incidente. Si necesitas cualquier gestión relacionada con el accidente —como declaración amistosa o partes—, puedes contactar con nuestras oficinas en horario laboral:
Aeropuerto Las Palmas: 670553417
Aeropuerto Tenerife Norte: 672224323
Aeropuerto Tenerife Sur: 608013023
Aeropuerto La Palma: 620823514
Aeropuerto Lanzarote: 666565559
Aeropuerto Fuerteventura: 606707846
Si tienes alguna otra consulta, estoy aquí para ayudarte."
"Debe rellenar el parte de accidente (Declaración Amistosa) incluyendo todos los datos y la firma de los implicados. Una vez completado, puede entregarlo en persona en cualquiera de nuestras oficinas de AVIS en Canarias o enviarlo por email a la oficina del aeropuerto donde recogió el vehículo.
Si prefiere contactar por teléfono, estos son los números según la isla:
Aeropuerto Las Palmas: 670 553 417
Aeropuerto Tenerife Norte: 672 224 323
Aeropuerto Tenerife Sur: 608 013 023
Aeropuerto La Palma: 620 823 514
Aeropuerto Lanzarote: 666 565 559
Aeropuerto Fuerteventura: 606 707 846
Si necesita el email de alguna oficina concreta, indíquenos cuál y se lo facilitamos."</t>
  </si>
  <si>
    <t>Añadir información específica de gestionar accidente</t>
  </si>
  <si>
    <t>"i never got the car because the app was still blocked.I couldn’t cancel the booking,or make a new one
i am now receiving emails that i haven’t returned the car and i should terminate through the app.But it is still blocked
what should i do"
"Thank you for providing all the details. Since the app is blocked and you cannot cancel or finish the booking, and you are now getting emails about not returning the car, please contact one of our customer service numbers immediately so an operator can assist you directly and resolve the issue in real time:
Aeropuerto Las Palmas: 670553417  
Aeropuerto Tenerife Norte: 672224323  
Aeropuerto Tenerife Sur: 608013023  
Aeropuerto La Palma: 620823514  
Aeropuerto Lanzarote: 666565559  
Aeropuerto Fuerteventura: 606707846
You do not need to worry; explain the situation and they will handle everything for you."
it’s sunday night and the lines aren’t working
"Thank you for letting us know. Our customer service lines are active at this time, so you should be able to reach someone now. Please try again using one of these numbers:
Aeropuerto Las Palmas: 670553417
Aeropuerto Tenerife Norte: 672224323
Aeropuerto Tenerife Sur: 608013023
Aeropuerto La Palma: 620823514
Aeropuerto Lanzarote: 666565559
Aeropuerto Fuerteventura: 606707846
If some lines are busy, we recommend trying another one from the list above. If you still cannot get through, let us know and we will escalate your case."
are the lines 24/7 7/7
"Yes, our airport office lines are available 24 hours a day, 7 days a week. You can call any of these numbers at any time for assistance:
Aeropuerto Las Palmas: 670553417
Aeropuerto Tenerife Norte: 672224323
Aeropuerto Tenerife Sur: 608013023
Aeropuerto La Palma: 620823514
Aeropuerto Lanzarote: 666565559
Aeropuerto Fuerteventura: 606707846
If you have trouble connecting with one, please try another from the list."
i called they can’t do anything i need to call the customer support.But i keep getting emails every 3 minutes
"Lamentamos mucho la situación. Para este tipo de incidencias, es necesario que el equipo de Atención al Cliente intervenga directamente. Te recomendamos llamar a nuestro servicio de Atención al Cliente en cualquiera de estos números, disponibles 24 horas, para que puedan detener los correos y resolver el problema de la reserva:
Aeropuerto Las Palmas: 670553417  
Aeropuerto Tenerife Norte: 672224323  
Aeropuerto Tenerife Sur: 608013023  
Aeropuerto La Palma: 620823514  
Aeropuerto Lanzarote: 666565559  
Aeropuerto Fuerteventura: 606707846
Si ya lo intentaste y sigues sin solución, indícanos tu nombre completo y un número de contacto para que podamos escalar tu caso directamente y el departamento correspondiente te contacte lo antes posible."
i called the aeropuerto las palmas but they said it’s an issue they can’t solve and i need to call customer support.But customer support isn’t available at this time
"We apologize for the inconvenience and understand your frustration. Since customer support via the airport offices has not been able to resolve your issue and you are still receiving emails, we will immediately escalate your case to our Customer Service department for direct attention.
To proceed, please provide your full name and a contact phone number so that our team can contact you directly and solve the problem with your reservation as soon as possible."
"Antonia Lykoskoufi 
+306972976878"
Your case has been escalated to our Customer Service department for direct handling. Our team will contact you as soon as possible to resolve the issue with your reservation. Thank you for providing your details.
i keep receiving them every 6 minutes
Se ha enviado una incidencia a nuestro Call Center. Le llamarán cuando estemos en horario laboral (08:00 a 20:00h de lunes a viernes, UTC+1).</t>
  </si>
  <si>
    <t>Se indica que tenemos linea 24/7 en aeropuerto incorrectamente.</t>
  </si>
  <si>
    <t>Necesito alquilar un coche
Pero me tienen que validar el carnet de conducir
Y quiero el coche en 1h
Puedes subir tu carnet de conducir en la App; la validación suele completarse en menos de 24 h. ¿Necesitas que te ayude con algo más?
Ya la subí
Pero necesito que me la validen ahora
Para recoger un coche en 1 h debes tener la documentación ya validada en la App. La validación suele completarse en menos de 24 h tras subir el DNI/pasaporte y carnet de conducir. ¿Necesitas que te ayude con algo más?
necesito que me lo validen ahora
La validación se completa habitualmente en menos de 24 h tras subir tu documentación en la App. Recibirás un email o notificación cuando tu cuenta esté activa. ¿Necesitas que te ayude con algo más?
Para poder recoger el coche en 1 h la documentación debe estar ya validada en la App. La validación del DNI/pasaporte y del carnet de conducir se completa habitualmente en menos de 24 h tras subirla; no se garantiza validación inmediata. ¿Necesitas que te ayude con algo más?</t>
  </si>
  <si>
    <t>Hola buenos dias
Estoy intentando hacer una reserva
???
Hola, para hacer una reserva debes usar la App de AVIS Corporate Canarias. ¿Necesitas que te ayude con algo más?
Por favor, indícame con más detalle en qué puedo ayudarte para derivarte al área correcta.
Si, me pone que aún están revisando documentacion
Su reserva sigue pendiente porque el equipo está revisando su documentación. Si necesita una respuesta inmediata o acelerar el proceso, le recomiendo llamar a nuestro número de asistencia: 928 092 337. ¿Quiere que revise si hay algún otro inconveniente?
Hola
Me sigue dando herror en la reserva
Y que me ponga en contacto
Gracias por avisarnos. ¿Podrías indicarnos exactamente qué error aparece al intentar hacer la reserva? Así podremos ayudarte a resolverlo lo antes posible.
Tu documentación suele validarse en menos de 24 h tras subirla en la app. Recibirás una notificación o un email cuando tu cuenta esté activa. Si necesitas respuesta inmediata, llama al 928 092 337. ¿Necesitas que te ayude con algo más?
Tu solicitud ha sido enviada. Un agente de soporte te atenderá lo antes posible. Gracias por tu paciencia.
Cuando finalizó para ir al último paso me dice que hay un herror
Gracias por tu paciencia. Para poder ayudarte con el error en la reserva, ¿puedes indicarme exactamente qué mensaje de error aparece o adjuntar una captura? Así podremos identificar la causa y resolverlo cuanto antes. Si prefieres atención inmediata, también puedes llamar al 928 092 337.</t>
  </si>
  <si>
    <t>una duda el seguro al alquilar el coche ? es a todo riesgo?
Cubres responsabilidad civil frente a terceros. Opcionalmente puedes contratar cobertura a todo riesgo sin franquicia (salvo delitos graves o negligencias intencionadas). ¿Necesitas que te ayude con algo más?</t>
  </si>
  <si>
    <t>Hola, que pasa si tardo 2horas más en entregar el coche?
Puedes ampliar la reserva desde la app de AVIS Corporate Canarias. Es obligatorio ampliar la reserva en la app para evitar perjudicar a otros clientes; si no se puede ampliar puede ser porque otro cliente está esperando y, por tanto, debes entregar a la hora acordada. ¿Necesitas que te ayude con algo más?
Recargo por entrega tardía?
Si te retrasas debes ampliar la reserva desde la app de AVIS Corporate Canarias. La extensión se factura por horas extra y, si el tiempo excede lo contratado sin finalizar en la app, se cobrará el tiempo adicional y AVIS puede aplicar recargos. Si la app no permite ampliar la reserva probablemente sea porque otro cliente espera y, en ese caso, debes entregar a la hora acordada. ¿Necesitas que te ayude con algo más?</t>
  </si>
  <si>
    <t>Hola
¡Hola! Soy Corporín, tu asistente virtual de AVIS Corporate en Canarias. ¿En qué puedo ayudarte hoy?
Mi validación de documentos aún está pendiente pero necesito alquilar un coche y me gustaría saber si hay como
La validación de tu documentación suele completarse en menos de 24 h tras subirla a la App. ¿Necesitas que te ayude con algo más?
Ya se pasó más de 24hrs
Gracias por avisarnos. Si tu validación de documentos lleva más de 24 horas pendiente, te recomendamos llamar directamente a nuestro número de atención: 928 092 337 para que un operador pueda revisar tu caso al momento.
Gracias
¡Gracias! Me alegra saber que ya está todo. ¿Necesitas que te ayude con algo más?
No
Perfecto, gracias. Que tengas un buen día.</t>
  </si>
  <si>
    <t>Buenos días, he mandado los datos y los documentos pero necesito sacar el coche ya
Para a ver si puedo agilizarlo
No se porque me lo piden ahora si he sacado varias veces
Estando dentro del horario laboral, puedes agilizar la recogida llamando directamente al número de asistencia: 928 092 337. Uno de nuestros operadores te atenderá para acelerar el proceso.
Buenos días, en breve nuestro equipo gestionará tu documentación para que puedas sacar el coche lo antes posible. Si necesitas agilizar el proceso, puedes llamar directamente al 928 092 337.</t>
  </si>
  <si>
    <t>Hola
He intentado verificar mi documentación en la app Avis Corporate tres veces y sigo sin conseguirlo
¡Hola! Soy Corporín, tu asistente virtual de AVIS Corporate en Canarias. ¿En qué puedo ayudarte hoy?
La validación de la documentación suele completarse en menos de 24 horas desde que subes los documentos a la app. Si ya lo has intentado varias veces y persiste el problema, te recomiendo cerrar la app completamente, asegurarte de tener conexión a internet, e intentarlo de nuevo. Si el fallo continúa, por favor llama al 928 092 337 para que podamos revisarlo contigo en detalle y darte una solución rápida.</t>
  </si>
  <si>
    <t>En que parte de Domingo Alonso me espera el vehículo mañana?
En el taller de Domingo Alonso Tenerife, las plazas de Avis Corporate están disponibles para la recogida de tu vehículo. La dirección es C. las Macetas, 14, 38108 La Laguna, Santa Cruz de Tenerife. El horario de recogida es de lunes a viernes de 9:00 a 16:00.
Como abro mi vehículo?
Para abrir tu vehículo, asegúrate de que tu móvil tenga conexión de datos y Bluetooth/GPS activado. Si aún así no funciona, llama al Centro de Atención 24h al 928 092 337 para que te guíen en la reactivación de la llave digital o te proporcionen asistencia presencial.
Y que debo hacer para devolver el vehículo?
Para devolver el vehículo, debes entregarlo en la misma ubicación donde lo recogiste y finalizar el alquiler en la App sobre las plazas de AVIS Corporate asignadas en dicho parking.
Como se finaliza el alquiler con la aplicación?
Para finalizar el alquiler, debes hacerlo a través de la App de AVIS Corporate. Una vez que hayas entregado el vehículo en la misma ubicación donde lo recogiste, finaliza el alquiler en la App sobre las plazas de AVIS Corporate asignadas en dicho parking.
Pero en qué parte de la aplicación de hace esto?
Para finalizar el alquiler, debes hacerlo a través de la App de AVIS Corporate. Una vez que hayas entregado el vehículo en la misma ubicación donde lo recogiste, finaliza el alquiler en la App sobre las plazas de AVIS Corporate asignadas en dicho parking.
La llave del vehículo la encontraré dentro del mismo?
La llave del vehículo no se encuentra dentro del mismo. Para abrir el vehículo, debes usar la App de AVIS Corporate.
Y para cerrarlo cuando lo aparco como lo hago?
Puedes cerrar el vehículo utilizando la App de AVIS Corporate.</t>
  </si>
  <si>
    <t>Hola
Soy Felo Martín Sosa
Por favor, indícame con más detalle en qué puedo ayudarte para derivarte al área correcta.
Estoy dándome de alta
Para darte de alta en AVIS Corporate Canarias, debes hacerlo a través de la aplicación móvil. La web es solo informativa.
Si ya tengo mi alta
Si ya tienes tu alta, ¿en qué puedo ayudarte?
Ya estoy dado de alta
Pero no me validan
Y no puedo reservar
Por favor, para poder ayudarte con la validación de tu alta y que puedas realizar reservas, contacta directamente con nuestros operadores en horario laboral llamando al 928 092 337.
El proceso de validación de tu cuenta suele completarse en menos de 24 horas después de subir la documentación en la App. Si han pasado más de 24 horas y sigues sin estar validado, contacta directamente con nuestro Centro de Atención en el 928 092 337 para que puedan revisar tu caso y acelerar el proceso.
Gracias
¡Gracias por tu confirmación! Si necesitas cualquier otra consulta o ayuda, aquí me tienes.</t>
  </si>
  <si>
    <t>Hola buenas
¡Hola! Soy Corporín, tu asistente virtual de AVIS Corporate en Canarias. ¿En qué puedo ayudarte hoy?
Creé una cuenta antes para alquilar un coche para el viernes y aún no me deja por qué pone que están validando los datos
Tu cuenta aún está en proceso de validación. Este trámite puede tardar un poco según la documentación aportada. Si deseas agilizar el proceso, puedes contactar con nuestro equipo llamando al 928 092 337. Si el viernes sigue sin estar validada, por favor vuelve a escribirnos para ayudarte con tu reserva.
Vale perfecto ya llamé pero no me lo cogen
Quisiera reservarlo ya para no perderlo
A veces el equipo puede tardar un poco en responder debido al volumen de llamadas. Te recomiendo intentar de nuevo en unos minutos. Si no logras contactarlos, avísame y buscaré una alternativa para que puedas validar tu cuenta a tiempo.
Lo necesito de viernes a domingo
Vale okey si
Para realizar la reserva, por favor utiliza la app de AVIS Corporate Canarias. La web es solo informativa.
No estoy capacitado para responder esa pregunta específica ya que no aparece en la información que tengo disponible. ¿Puedo ayudarte con alguna otra consulta sobre nuestros servicios en Canarias?
No muchas gracias le avisaré si no consigo
Gracias a ti. Si tienes cualquier inconveniente para validar tu cuenta o completar la reserva, no dudes en volver a contactarnos. ¡Buen día!</t>
  </si>
  <si>
    <t>Que combustible utiliza el VW Taigo?
No tengo información específica sobre el tipo de combustible que utiliza el modelo VW Taigo.
Donde exactamente se encuentra la plaza de parking del vehículo que he alquilado?
Para indicarte la ubicación exacta de la plaza de parking, necesito saber en qué aeropuerto o taller has alquilado el vehículo. Por favor, especifica la ubicación de recogida.
Domingo Alonso
En el taller de Domingo Alonso Tenerife dispondrás de plazas de AVIS Corporate en la C. las Macetas, 14, 38108 La Laguna, Santa Cruz de Tenerife. El horario es de lunes a viernes de 9:00 a 16:00.</t>
  </si>
  <si>
    <t>Añadir información combustible</t>
  </si>
  <si>
    <t>Hola, me acaba de llegar un correo avisando de que mi alquiler está a punto de terminar en 10 min pero el punto de entrega no ha abierto
Se ha enviado una incidencia a nuestro Call Center. Le llamarán cuando estemos en horario laboral (08:00 a 20:00h de lunes a viernes, UTC+1).</t>
  </si>
  <si>
    <t>No se abre el coche
"Para poder ayudarte, necesito saber exactamente qué ocurre al intentar abrir el coche. ¿Puedes indicarme cuál de estas situaciones se ajusta más a tu caso?
- Vehículo no disponible.
- No aparece la llave digital en la app.
- El botón de abrir/cerrar se queda en carga.
- Pantalla verde en la aplicación o el sistema.
Por favor, dime cuál describe mejor tu problema."
Me sale mensaje de ubicacion
Le digo queacepte
Y me sale esto
Y aquí se queda no me hace más nada
"Para poder ayudarte, indícame exactamente qué mensaje de ubicación te sale o hazme una captura del texto. Es importante saber si el aviso te pide autorizar la ubicación del móvil o te muestra algún error distinto. 
Mientras tanto, asegúrate de tener la ubicación activada y concedida para la app de Avis en tu móvil. Si la aplicación quiere acceso a la ubicación, acepta los permisos y vuelve a intentarlo. Si el problema sigue, dime lo que aparece en pantalla o el mensaje exacto."
No me deja hacer esa captura de pantalla
Gracias por la información. Para poder ayudarte, por favor indícame exactamente qué mensaje de ubicación te aparece o transcribe el texto que ves en pantalla. Es importante saber si el aviso te pide autorizar la ubicación de tu móvil o si se muestra otro tipo de error. Activa la ubicación y asegúrate de conceder permisos a la app de Avis. Si puedes, dime el texto exacto del mensaje que te sale.
Gracias ya un chico de los suyos me lo ha solucionado
¡Perfecto! Me alegro de que ya esté solucionado. Si necesitas cualquier otra cosa, aquí estoy. ¡Buen día!</t>
  </si>
  <si>
    <t>Buenos días
¡Hola! Soy Corporín, tu asistente virtual de AVIS Corporate en Canarias. ¿En qué puedo ayudarte hoy?
Aún no he podido reservar el coche ya que no se me han verificado los datos
Actualmente, si los datos de tu cuenta no se han verificado, no podrás realizar ninguna reserva. Por favor, intenta validar de nuevo tus datos en la aplicación. Si el problema persiste, te recomiendo que llames directamente al 928 092 337 (Asistencia AVIS Canarias, horario laboral) para que puedan ayudarte a verificar tu cuenta y finalizar la reserva cuanto antes.
Y sigo igual
Si el problema persiste y no puedes verificar tus datos ni realizar la reserva a través de la app, contacta directamente con Asistencia AVIS Canarias llamando al 928 092 337. Ellos podrán ayudarte de forma inmediata con la validación de tu cuenta.
No me lo cogen
Lamentamos las molestias. El teléfono de Asistencia AVIS Canarias es 928 092 337 y debería estar disponible en horario laboral. Si no consigues contactar tras varios intentos, háznoslo saber para poder escalar tu caso y buscar una alternativa para la validación de tus datos.
Muchas gracias ya pude hacer la reserva
Gracias por tu mensaje. Si necesitas cualquier otra cosa, aquí estaré para ayudarte.</t>
  </si>
  <si>
    <t>Hola, he actualizado la aplicación y cuando voy a subir la foto del DNI la cámara se queda en negra
Gracias por informarnos. Te recomiendo desinstalar y volver a instalar la aplicación para corregir el fallo de la cámara. Si el problema continúa, por favor indícalo y lo escalamos.
La desinstale y sigue igual
Gracias por intentarlo. En este caso, para resolverlo lo antes posible, por favor llama a nuestro número de atención: 928 092 337, donde nuestros operadores te ayudarán a completar el registro y validar tu documentación manualmente.
Estoy intentando hablar al teléfono y no me lo cojen
Tu solicitud ha sido enviada. Un agente de soporte te atenderá lo antes posible. Gracias por tu paciencia.
Estoy intentando hablar al teléfono y no me lo cojen
Lamentamos las molestias. El teléfono de atención 928 092 337 está operativo y disponible en este momento. Por favor, inténtalo de nuevo en unos minutos. Si sigues sin poder contactar, avísanos para que gestionemos una alternativa.
Necesito un coche para mañana y quiero que me validen los datos
Entiendo que necesitas que validemos tus datos para poder alquilar un coche mañana. La validación de tu documentación suele completarse en menos de 24 horas después de subirla a la App. Recibirás un email o notificación cuando tu cuenta esté activa.
Si pero es que al actualizar la aplicación no me queda alternativa
Entiendo tu situación. Si la aplicación no te permite validar la documentación y ya has probado reinstalarla, sigue intentando contactar al número de atención 928 092 337, ya que se encuentra disponible en este momento y podrán completar la validación manualmente. Si no consigues respuesta tras varios intentos, avísame para gestionarlo por otra vía.
Llevo 10 minutos y no me lo cojen
Sentimos mucho la espera y las molestias. El teléfono 928 092 337 está operativo, pero puede haber retraso en la respuesta por alta demanda. Te recomendamos seguir intentando durante unos minutos. Si no logras contactar, indícanoslo y gestionaremos una alternativa para validar tus datos y asegurarte el coche para mañana.</t>
  </si>
  <si>
    <t>Hola
tengo problemas para hacer una reserva, me pone que contacte con vosotros
¡Hola! Soy Corporín, tu asistente virtual de AVIS Corporate en Canarias. ¿En qué puedo ayudarte hoy?
Esto
Por favor, indícame con más detalle en qué puedo ayudarte para derivarte al área correcta.
Estoy intentando hacer una reserva y no me deja me dice que me ponga en contacto con vosotros no tengo más detalle
Gracias por la información. Para darte asistencia con tu reserva, por favor llama al 928 092 337, donde nuestros operadores podrán ayudarte directamente.</t>
  </si>
  <si>
    <t>Se prendo un auto a LAS palmas si può lasciare all'aereoporto, quindi in 2 posti diversi?
No, tutti i veicoli devono essere riconsegnati nella stessa posizione in cui sono stati ritirati al termine del noleggio. Devi terminare il noleggio negli appositi spazi AVIS Corporate assegnati in quel parcheggio.</t>
  </si>
  <si>
    <t>Hola
¡Hola! Soy Corporín, tu asistente virtual de AVIS Corporate en Canarias. ¿En qué puedo ayudarte hoy?
No me deja ampliar el horario para mañana
Llame y me dijeron q podria
Para ampliar el horario de tu reserva para mañana, debes contactar directamente con nuestros operadores. Por favor, llama al 928 092 337 en horario laboral para que puedan gestionarlo contigo.
Para ampliar el horario de tu reserva, es necesario que lo gestiones directamente con uno de nuestros operadores. Como estás dentro del horario laboral, te recomiendo que llames al 928 092 337 para que puedan ayudarte a realizar la ampliación hoy mismo.</t>
  </si>
  <si>
    <t>Información contradictoria sobre la devolución parcial por devolución anticipada</t>
  </si>
  <si>
    <t>Hola buenas
¡Hola! Soy Corporín, tu asistente virtual de AVIS Corporate en Canarias. ¿En qué puedo ayudarte hoy?
Estoy intentando coger un coche pero no me lo permite
Y no me dice motivo
"Para poder ayudarte, ¿puedes indicar qué sucede exactamente al intentar abrir el coche?  
¿Ves alguna llave digital en la aplicación, aparece algún error o el botón de abrir/cerrar no responde?  
Así podré indicarte una solución precisa."
Es al hacer la reserva
"Gracias por la información. Si el problema ocurre al hacer la reserva y la aplicación no te permite completarla sin mostrar motivo, por favor cancela la reserva actual e intenta generar una nueva para que se te asigne otro vehículo. Si ya ha pasado la hora de tu alquiler y no logras reservar, inicia la reserva pese al error, finalízala desde la app y genera una nueva.
A fin de poder compensar este inconveniente, por favor, indícanos tu DNI. Si lo consideras oportuno, puedes presentar una reclamación escribiendo a corporate@aviscanarias.es."
Doy todos los pasos pero cuando voy a pagar me sale un error
"Gracias por detallar el error. Si al finalizar el proceso de pago en la reserva te aparece un error y no puedes completar la reserva, por favor, cancela la actual e intenta crear una nueva. Si el problema persiste o necesitas una solución inmediata, puedes contactar con cualquiera de nuestras oficinas según tu ubicación:
Aeropuerto Las Palmas: 670553417  
Aeropuerto Tenerife Norte: 672224323  
Aeropuerto Tenerife Sur: 608013023  
Aeropuerto La Palma: 620823514  
Aeropuerto Lanzarote: 666565559  
Aeropuerto Fuerteventura: 606707816  
Si lo consideras oportuno, también puedes presentar una reclamación escribiendo a corporate@aviscanarias.es. Si deseas tramitar una compensación por el inconveniente, indícame tu DNI."</t>
  </si>
  <si>
    <t>Buenos días
¡Hola! Soy Corporín, tu asistente virtual de AVIS Corporate en Canarias. ¿En qué puedo ayudarte hoy?
Estoy intentando efectuar una reserva vehículo en el aeropuerto de Gran Canaria , próximo sábado 15 de noviembre , para retirar vehículo a las 12:45 horas, y entregarlo el domingo 16 de noviembre a las 12;45 horas…
Yo soy el cliente jschrebers@gmail.com
Para ver los vehículos disponibles en el aeropuerto de Gran Canaria para las fechas y horas que indicas, por favor utiliza la app de AVIS Corporate. El sistema te mostrará las categorías con cupo disponible en tiempo real.
Me dice que tiene disponibles
Cuando confirme reserva
Me dice que contacte con ustedes
Por favor, indícame con más detalle a qué te refieres cuando dices "Cuando confirme reserva" para poder ayudarte mejor.
"Para finalizar tu reserva en el aeropuerto de Gran Canaria, es necesario completar el proceso por teléfono con nuestro equipo. Por favor, llama directamente a la oficina del Aeropuerto Las Palmas: 670553417. 
Te ayudarán de inmediato con la confirmación y cualquier detalle pendiente."</t>
  </si>
  <si>
    <t>Cuando se me validan los documentos
La validación de tu documentación se completa habitualmente en menos de 24 horas después de subirla a la App. Recibirás un email o notificación cuando tu cuenta esté activa.
Y si quiero reservar un coche y no me lo han validado
Puedo hacer algo
No es posible reservar un coche si tu documentación no ha sido validada. La validación suele completarse en menos de 24 horas después de subirla a la App. Recibirás un email o notificación cuando tu cuenta esté activa.
Y no hay alguna forma me lo puedan validar más rápido ya sea yendo a alguna oficina de avis
No es posible acelerar el proceso de validación de la documentación. Se completa habitualmente en menos de 24 horas después de subirla a la App. No se puede realizar en una oficina de AVIS. Recibirás un email o notificación cuando tu cuenta esté activa.</t>
  </si>
  <si>
    <t>Buenos dias no me permite reservar coche desde la app
"Actualmente estamos experimentando incidencias con la app para realizar reservas. Por favor, le recomendamos que intente realizar su reserva desde nuestra web corporativa. Si sigue teniendo problemas, puede contactar con nosotros en los siguientes teléfonos según su aeropuerto:
Aeropuerto Las Palmas: 670553417;
Aeropuerto Tenerife Norte: 672224323;
Aeropuerto Tenerife Sur: 608013023;
Aeropuerto La Palma: 620823514;
Aeropuerto Lanzarote: 666565559;
Aeropuerto Fuerteventura: 606707816.
Si necesita atención adicional, por favor indíquenos su DNI para poder gestionar su incidencia de forma personalizada."
Cual es la web corporativa?
Para realizar gestiones, por favor utiliza la app de AVIS Corporate Canarias. La web es solo informativa.
En la app no sale ningún enlace
"Actualmente no es posible reservar desde la app y la web solo funciona de forma informativa, por eso no aparece ningún enlace para reservas en tu aplicación. Si tienes alguna urgencia o necesitas reservar, contacta con nosotros llamando al número correspondiente según tu aeropuerto:
Aeropuerto Las Palmas: 670553417;
Aeropuerto Tenerife Norte: 672224323;
Aeropuerto Tenerife Sur: 608013023;
Aeropuerto La Palma: 620823514;
Aeropuerto Lanzarote: 666565559;
Aeropuerto Fuerteventura: 606707816.
¿Te puedo ayudar con otra gestión?"
Aclarense.. intente realizar su reserva desde nuestra web corporativa...eso escriben
"Disculpa por la confusión anterior. Actualmente, la web corporativa solo es informativa y no permite hacer reservas. Para gestionar tu alquiler, debes usar la app, pero, como mencionamos, hay una incidencia en las reservas desde la propia app. Si necesitas reservar urgentemente, por favor llama al teléfono correspondiente a tu aeropuerto de preferencia:
Aeropuerto Las Palmas: 670553417;
Aeropuerto Tenerife Norte: 672224323;
Aeropuerto Tenerife Sur: 608013023;
Aeropuerto La Palma: 620823514;
Aeropuerto Lanzarote: 666565559;
Aeropuerto Fuerteventura: 606707816.
Si necesitas otro tipo de gestión, indícalo y te ayudamos."
Ok gracias
Gracias a ti. Si tienes cualquier otra consulta o necesitas ayuda adicional, aquí estaré para ayudarte. ¡Buen día!</t>
  </si>
  <si>
    <t>Mala información sobre la gestión desde la web: "Por favor, le recomendamos que intente realizar su reserva desde nuestra web corporativa."</t>
  </si>
  <si>
    <t>Buenos dias. Hay servicio bus desde aeropuerto a base los domingos?
"Hola,
Sí, en el Aeropuerto de Tenerife Norte y en el Aeropuerto de Tenerife Sur disponemos de un servicio de shuttle que te lleva a la oficina de AVIS.
En el Aeropuerto de Tenerife Norte, el shuttle pasa cada 10 minutos por la parada de bus número 15, en la planta baja del aeropuerto. El horario es de 7:00 a 23:30.
En el Aeropuerto de Tenerife Sur, el bus lanzadera parte cada 15 minutos desde el aparcamiento de autobuses E07 (Cartel azul) y en 5 minutos estarás en la Campa de AVIS. El horario es de 8:00 a 22:30.
Puedes ver la ubicación y el tiempo estimado de llegada del shuttle en tiempo real a través de los siguientes enlaces:
*   Tenerife Norte: https://trackmyshuttle.com/a/5003
*   Tenerife Sur: https://trackmyshuttle.com/a/5004
Para el Aeropuerto de La Palma, no se menciona un servicio de bus, pero las plazas de AVIS Corporate se encuentran en la planta -2 del aeropuerto, con la letra G y H. El horario es 24/7.
Para el Aeropuerto de Gran Canaria, no se menciona un servicio de bus, pero nuestros vehículos se encuentran en el parking exterior de rent a car, en las plazas de AVIS Corporate. El horario es 24/7.
Para el Aeropuerto de Fuerteventura, nuestros vehículos se encuentran en el parking de rent a car del aeropuerto, en las plazas señalizadas para Avis Corporate. El horario es 24/7.
Para el Aeropuerto de Lanzarote, puedes venir con nuestro servicio de shuttle, que cada 10 minutos pasará por la parada del Meeting Point. El horario es de lunes a domingo de 7:00 a 22:00. Puedes ver la ubicación y el tiempo estimado de llegada del shuttle en tiempo real a través del siguiente enlace: https://trackmyshuttle.com/a/5002"</t>
  </si>
  <si>
    <t>No me abre la llave
Indíqueme, por favor, si la llave es digital y no aparece en la aplicación, si el botón de abrir/cerrar se queda en carga, si le sale una pantalla verde en el sistema, o si el vehículo directamente no está disponible. Así podré ayudarle con la solución exacta.
Ya está gracias
Había que actualizar la aplicacion
Perfecto, nos alegra saber que quedó resuelto actualizando la aplicación. Si vuelve a necesitar ayuda o tiene cualquier otra consulta, aquí estamos para asistirle. ¡Buen viaje!</t>
  </si>
  <si>
    <t>Hima
Hola
Si tengo cogido un coche para las 12 y llego más tarde pasa algo
¡Hola! Soy Corporín, tu asistente virtual de AVIS Corporate en Canarias. ¿En qué puedo ayudarte hoy?
.
Por favor, indícame con más detalle en qué puedo ayudarte para derivarte al área correcta.
Puedo cogerlo más tarde
Dispones de 2 horas de gracia después de la hora de inicio programada para recoger el vehículo. Si no lo recoges dentro de ese plazo y no avisas, la reserva se considerará "No-Show" y se te cobrará el importe completo.</t>
  </si>
  <si>
    <t xml:space="preserve">Buenos días
¡Hola! Soy Corporín, tu asistente virtual de AVIS Corporate en Canarias. ¿En qué puedo ayudarte hoy?
Estoy teniendo problemas para hacer una reserva mi nombre es LAURA RODRÍGUEZ HERNÁNDEZ me dice aplicación q me ponga el contacto con ustedes
"Gracias por comunicarte, Laura. Para poder ayudarte con tu problema al realizar la reserva, por favor indícame exactamente qué mensaje aparece o qué error te da la aplicación. Si prefieres resolverlo por teléfono, puedes llamar directamente y de forma rápida a la oficina que prefieras según tu origen o destino:
Aeropuerto Las Palmas: 670 553 417
Aeropuerto Tenerife Norte: 672 224 323
Aeropuerto Tenerife Sur: 608 013 023
Aeropuerto La Palma: 620 823 514
Aeropuerto Lanzarote: 666 565 559
Aeropuerto Fuerteventura: 606 707 816
Así podremos darte soporte inmediato. Indícame los detalles y lo gestionamos cuanto antes."
Le dice que me ponga en con ato con ustedes
"Laura, para poder ayudarte con el problema en la reserva, necesitamos más detalles sobre lo que ocurre exactamente al intentar reservar: ¿la aplicación muestra algún mensaje de error concreto o se queda bloqueada? Si lo prefieres, puedes contactar directamente con nosotros por teléfono para asistencia inmediata según el aeropuerto más cercano:
Aeropuerto Las Palmas: 670 553 417  
Aeropuerto Tenerife Norte: 672 224 323  
Aeropuerto Tenerife Sur: 608 013 023  
Aeropuerto La Palma: 620 823 514  
Aeropuerto Lanzarote: 666 565 559  
Aeropuerto Fuerteventura: 606 707 816
Indícanos el mensaje exacto que ves o si necesitas ayuda telefónica para gestionar tu reserva."
Hay un problema con mi reserva ponerme en contacto con ustedes
Reserva es día 29 noviembre al 30 noviembre
"Laura, para poder solucionar el problema con tu reserva del 29 al 30 de noviembre, necesitamos hablar contigo directamente para gestionar la incidencia cuanto antes. Por favor, contacta directamente con nosotros en el teléfono correspondiente al aeropuerto de tu recogida o destino:
Aeropuerto Las Palmas: 670 553 417  
Aeropuerto Tenerife Norte: 672 224 323  
Aeropuerto Tenerife Sur: 608 013 023  
Aeropuerto La Palma: 620 823 514  
Aeropuerto Lanzarote: 666 565 559  
Aeropuerto Fuerteventura: 606 707 816
Llámanos para una asistencia inmediata y resolveremos tu reserva."
Tu solicitud ha sido enviada. Un agente de soporte te atenderá lo antes posible. Gracias por tu paciencia.
No me cojen el teléfono
Me llaman por teléfono??
"Laura, lamentamos que no hayas podido contactar por teléfono. Si necesitas ayuda urgente con tu reserva del 29 al 30 de noviembre, intenta llamar de nuevo a uno de estos teléfonos (lunes a viernes de 8:00 a 20:00h):
Aeropuerto Las Palmas: 670 553 417  
Aeropuerto Tenerife Norte: 672 224 323  
Aeropuerto Tenerife Sur: 608 013 023  
Aeropuerto La Palma: 620 823 514  
Aeropuerto Lanzarote: 666 565 559  
Aeropuerto Fuerteventura: 606 707 816
Si ninguno te responde tras varios intentos, confirma si prefieres que gestionemos la incidencia por aquí. Indícanos tu DNI y detallamos el caso para darte soporte desde el departamento de atención al cliente."
Laura, tu solicitud ha sido enviada y un agente de soporte te atenderá lo antes posible para ayudarte con el problema de tu reserva. Muchas gracias por tu paciencia.
</t>
  </si>
  <si>
    <t>Hola quería ampliar mi vehículo 1 días más pero por la aplicación me sale que el coche está reservado, podría ayudarme?
"Parece que el vehículo asignado a su reserva no se encuentra disponible para ampliación en este momento. Para poder ayudarle, le sugerimos que cancele la reserva actual e intente generar una nueva para el periodo deseado. Si necesita asistencia directa para el cambio, le recomendamos que contacte con nuestras oficinas en horario laboral a uno de estos números, indicando su ubicación:
Aeropuerto Gran Canaria (Las Palmas): 670 553 417  
Aeropuerto Tenerife Norte: 672 224 323  
Aeropuerto Tenerife Sur: 608 013 023  
Aeropuerto La Palma: 620 823 514  
Aeropuerto Lanzarote: 666 565 559  
Aeropuerto Fuerteventura: 606 707 816
Si lo considera oportuno o desea presentar una reclamación, puede escribirnos a corporate@aviscanarias.es. Si desea gestionar algún tipo de compensación, por favor facilítenos su DNI."</t>
  </si>
  <si>
    <t>Mande los documentos ayer por la noche a las 00
La validación de tu documentación se completa habitualmente en menos de 24 horas después de subirla a la App. Recibirás un email o notificación cuando tu cuenta esté activa.
Aunque sea fin de semana?
La validación de tu documentación se completa habitualmente en menos de 24 horas después de subirla a la App, independientemente de si es fin de semana o no. Recibirás un email o notificación cuando tu cuenta esté activa.
Y tengo todos los documentos sibidos
Y de todo
La validación de tu documentación se completa habitualmente en menos de 24 horas después de subirla a la App. Recibirás un email o notificación cuando tu cuenta esté activa.
La validación de tu documentación se completa habitualmente en menos de 24 horas después de subirla a la App. Recibirás un email o notificación cuando tu cuenta esté activa.
No
La validación de tu documentación se completa habitualmente en menos de 24 horas después de subirla a la App. Recibirás un email o notificación cuando tu cuenta esté activa.
Hola no me deja reservar un coche
¿Puedes indicarme exactamente qué problema te aparece al intentar reservar el coche? ¿Te muestra algún mensaje de error o no te deja avanzar en algún paso? Así podré ayudarte mejor y darte una solución rápida.
Ha habido un problema con tu reserva contacta con nosotros. Eso me pone
"Gracias por la información. Para resolver el problema con tu reserva, por favor contacta directamente con nuestro equipo de soporte en el siguiente número según el aeropuerto donde te encuentres:
Aeropuerto Las Palmas: 670553417  
Aeropuerto Tenerife Norte: 672224323  
Aeropuerto Tenerife Sur: 608013023  
Aeropuerto La Palma: 620823514  
Aeropuerto Lanzarote: 666565559  
Aeropuerto Fuerteventura: 606707816  
Te atenderán de inmediato para revisar el motivo y ayudarte a completar tu reserva."
No me atienden porque no son Avis Corporate no me puedes ayudar tu
Tu solicitud ha sido enviada. Un agente de soporte te atenderá lo antes posible. Gracias por tu paciencia.</t>
  </si>
  <si>
    <t>No puedo reservar un coche
"Para poder ayudarte con la reserva, por favor indícame el aeropuerto u oficina donde necesitas reservar y, si lo prefieres, también puedes llamar directamente a uno de nuestros teléfonos de contacto según tu ubicación:
Aeropuerto Las Palmas: 670 553 417
Aeropuerto Tenerife Norte: 672 224 323
Aeropuerto Tenerife Sur: 608 013 023
Aeropuerto La Palma: 620 823 514
Aeropuerto Lanzarote: 666 565 559
Aeropuerto Fuerteventura: 606 707 816
Quedo a la espera de tu respuesta para ayudarte a gestionar tu reserva."
Puerto las palmas
Puedes realizar tu reserva por teléfono contactando con nuestra oficina en Aeropuerto Las Palmas en el número 670 553 417. Si necesitas ayuda para tramitarla online, indícamelo y te asisto con los pasos.
Me da un error en la aplicación.
Gracias por la información. Para poder ayudarte con el error al intentar reservar en la aplicación, por favor indícame exactamente qué mensaje de error te aparece o describe brevemente el problema que ves en pantalla. Así podré guiarte con los pasos adecuados para solucionarlo. Si lo prefieres, también puedes contactar telefónicamente con nuestra oficina en Aeropuerto Las Palmas en el número 670 553 417 para recibir asistencia inmediata.</t>
  </si>
  <si>
    <t>Buenas tardes
Necesito hablar con un agente
Para poder terminar la reserva
Tu solicitud ha sido enviada. Un agente de soporte te atenderá lo antes posible. Gracias por tu paciencia.
Gracias
Tu solicitud ha sido enviada. Un agente de soporte te atenderá lo antes posible. Gracias por tu paciencia.
Hola
Hola, tu solicitud ha sido enviada. Un agente de soporte te atenderá lo antes posible. Gracias por tu paciencia.</t>
  </si>
  <si>
    <t>Hola! Le he dado a finalizar viaje sin querer
Y tengo reservado el coche hasta mañana, que hago?
"Si has finalizado el viaje por error, es necesario que contactes con nuestro equipo para que podamos gestionarlo cuanto antes. Por favor, llama al número de asistencia correspondiente según tu ubicación:
Aeropuerto Las Palmas: 670553417  
Aeropuerto Tenerife Norte: 672224323  
Aeropuerto Tenerife Sur: 608013023  
Aeropuerto La Palma: 620823514  
Aeropuerto Lanzarote: 666565559  
Aeropuerto Fuerteventura: 606707816  
Estamos dentro del horario laboral y te atenderán directamente."
"Has finalizado el viaje por error antes de tiempo. Para poder restablecer tu reserva o generar una nueva, es necesario que contactes por teléfono con nuestro equipo de asistencia ahora mismo. Por favor, llama al número correspondiente según tu ubicación:
Aeropuerto Las Palmas: 670 553 417
Aeropuerto Tenerife Norte: 672 224 323
Aeropuerto Tenerife Sur: 608 013 023
Aeropuerto La Palma: 620 823 514
Aeropuerto Lanzarote: 666 565 559
Aeropuerto Fuerteventura: 606 707 816
Ellos te ayudarán a resolverlo de inmediato."
No me cogen el telefono
Nuestros compañeros pueden tardar unos minutos en responder si están atendiendo otras llamadas. Intenta de nuevo, por favor, y permanece atento, suelen contestar enseguida dentro del horario laboral. Si no logras contactar, puedes acudir directamente al mostrador de AVIS en el aeropuerto donde recogiste el coche para que te ayuden en persona.</t>
  </si>
  <si>
    <t>Hola, he tenido un problema con una reserva
¿Podrías indicarme qué problema has tenido exactamente con la reserva? Por ejemplo: ¿No estaba disponible el coche? ¿La reserva desapareció de la app? ¿El vehículo no arrancaba? Así podré ayudarte con la solución más rápida.
Me han cancelado desde avis la reserva 1 hora antes de coger el coche. Sin darme ningun motivo ni solución
Lamentamos lo sucedido con su reserva. Parece que el vehículo asignado no estaba disponible y la reserva fue cancelada. Por favor, si aún necesita el servicio, cancele la reserva actual en la app y genere una nueva para que podamos asignarle otro vehículo. Si considera oportuna una reclamación, puede escribir a corporate@aviscanarias.es. Además, para poder revisar su caso y compensar el viaje inicial no disfrutado, indíquenos su DNI.</t>
  </si>
  <si>
    <t>Hola
¡Hola! Soy Corporín, tu asistente virtual de AVIS Corporate en Canarias. ¿En qué puedo ayudarte hoy"Tengo una reserva para esta tarde a las 18, y me gustaría coger el
Coche antes por necesidad"
"Para adelantar la recogida de tu coche, por favor, acércate a la oficina de AVIS correspondiente y consulta la disponibilidad. Si necesitas hablar directamente con el equipo de la oficina, estos son los teléfonos de contacto:
Aeropuerto Las Palmas: 670553417
Aeropuerto Tenerife Norte: 672224323
Aeropuerto Tenerife Sur: 608013023
Aeropuerto La Palma: 620823514
Aeropuerto Lanzarote: 666565559
Aeropuerto Fuerteventura: 606707816
Te recomendamos llamar antes de acudir para confirmar que tu vehículo está listo."
En la oficina me han dicho que no pueden modificar la hora de recogida de vehiculo
Las oficinas locales no pueden modificar la hora de recogida de tu vehículo, ya que el sistema de reservas requiere el cumplimiento del horario acordado inicialmente. Te recomiendo acudir a la hora indicada en tu reserva original. Si necesitas adelantar la recogida, puedes consultar de nuevo directamente con la oficina, aunque normalmente no es posible. Si surge cualquier otra incidencia, estoy aquí para ayudarte.
Entonces para que me dices que consulte con la oficina si sabes que la oficina no me lo puede modificar
Tampco me deja hacer una nueva reserva , me da error y me dice que contacte con ustedes
"Para ayudarte con el error al intentar hacer una nueva reserva, es necesario que contactes con nuestras oficinas donde podrán revisar tu caso directamente. Aquí tienes los teléfonos de contacto, indica el aeropuerto u oficina según tu preferencia:
Aeropuerto Las Palmas: 670553417  
Aeropuerto Tenerife Norte: 672224323  
Aeropuerto Tenerife Sur: 608013023  
Aeropuerto La Palma: 620823514  
Aeropuerto Lanzarote: 666565559  
Aeropuerto Fuerteventura: 606707816
Llámanos en horario laboral para que el equipo pueda revisar el error y ofrecerte una solución. Si el problema persiste tras llamar, por favor indícame exactamente el mensaje de error que aparece y estaré encantado de seguir ayudándote."
Aunque aparece como que hay coche disponible para la hora que quiero
Tu solicitud ha sido enviada. Un agente de soporte te atenderá lo antes posible. Gracias por tu paciencia.</t>
  </si>
  <si>
    <t>No le dice el punto 16 del FAQ que habla de este tema</t>
  </si>
  <si>
    <t>Hola tengo reserva de un coche
Y me pone wrong parameters
"Para poder ayudarte con el mensaje ""wrong parameters"" en tu reserva, ¿puedes facilitarme tu DNI para gestionar la incidencia correctamente? Si prefieres una atención más rápida, también puedes llamar ahora mismo según tu aeropuerto:
Aeropuerto Las Palmas: 670553417  
Aeropuerto Tenerife Norte: 672224323  
Aeropuerto Tenerife Sur: 608013023  
Aeropuerto La Palma: 620823514  
Aeropuerto Lanzarote: 666565559  
Aeropuerto Fuerteventura: 606707816"
03225922B
"Parece que el vehículo asignado a tu reserva no se encuentra disponible en este momento. Por favor, si aún no ha llegado la hora de tu alquiler, cancela la reserva actual y genera una nueva para que podamos asignarte otro vehículo. Si ya ha pasado la hora de tu alquiler, inicia y finaliza tu reserva y luego haz una nueva.
Tu caso ha sido trasladado al departamento de Atención al Cliente. Para una gestión más rápida, te recomendamos que llames al número de asistencia correspondiente según tu aeropuerto:
Aeropuerto Las Palmas: 670553417  
Aeropuerto Tenerife Norte: 672224323  
Aeropuerto Tenerife Sur: 608013023  
Aeropuerto La Palma: 620823514  
Aeropuerto Lanzarote: 666565559  
Aeropuerto Fuerteventura: 606707816
Gracias por tu paciencia."
No me deja iniciar el viaje
"Veo que no puedes iniciar el viaje. Si ya has cancelado y generado una nueva reserva y el problema persiste, te recomiendo llamar al número de asistencia según tu aeropuerto para que un operador pueda ayudarte de inmediato:
Aeropuerto Las Palmas: 670553417  
Aeropuerto Tenerife Norte: 672224323  
Aeropuerto Tenerife Sur: 608013023  
Aeropuerto La Palma: 620823514  
Aeropuerto Lanzarote: 666565559  
Aeropuerto Fuerteventura: 606707816
Estás dentro del horario laboral y recibirás asistencia directa a través de estos teléfonos."
No me deja abrir la llave del coche
"¿Podrías especificar qué problema exacto tienes al intentar abrir la llave del coche? Selecciona la opción que mejor describa tu situación:
- No aparece la llave digital.
- El botón de abrir/cerrar se queda cargando.
- Pantalla verde al intentar abrir.
- Vehículo no disponible.
Indícame cuál es tu caso para poder ayudarte de forma inmediata."
Me da un error
"Para poder ayudarte, necesito saber exactamente qué error te aparece al intentar abrir la llave del coche. Por favor, dime si ves alguno de estos mensajes o situaciones:
- No aparece la llave digital.
- El botón de abrir/cerrar se queda en carga.
- Pantalla verde.
- Vehículo no disponible.
- Otro error (especifica el mensaje).
Indícamelo para darte la solución adecuada. Si tienes prisa, también puedes llamar ahora mismo según tu aeropuerto:
Aeropuerto Las Palmas: 670553417
Aeropuerto Tenerife Norte: 672224323
Aeropuerto Tenerife Sur: 608013023
Aeropuerto La Palma: 620823514
Aeropuerto Lanzarote: 666565559
Aeropuerto Fuerteventura: 606707816"
Me pone que tengo error en los parámetros en la aplicacion
"Parece que la aplicación te muestra un error de parámetros al intentar abrir la llave del coche. Este tipo de incidencia requiere que un operador revise tu caso en tiempo real. Te recomiendo llamar cuanto antes al teléfono de asistencia que corresponda a tu aeropuerto para que puedan darte una solución inmediata:
Aeropuerto Las Palmas: 670553417
Aeropuerto Tenerife Norte: 672224323
Aeropuerto Tenerife Sur: 608013023
Aeropuerto La Palma: 620823514
Aeropuerto Lanzarote: 666565559
Aeropuerto Fuerteventura: 606707816
Estás dentro del horario laboral y recibirás ayuda directa en estos números."
Wrong parametres me pone
"El error ""Wrong parameters"" en la aplicación al intentar abrir la llave requiere soporte inmediato de un operador. Para solucionarlo, llama ahora al número de asistencia correspondiente según tu aeropuerto:
Aeropuerto Las Palmas: 670553417  
Aeropuerto Tenerife Norte: 672224323  
Aeropuerto Tenerife Sur: 608013023  
Aeropuerto La Palma: 620823514  
Aeropuerto Lanzarote: 666565559  
Aeropuerto Fuerteventura: 606707816
Estás dentro del horario laboral y recibirás ayuda directa en estos números."</t>
  </si>
  <si>
    <t>No me deja hacer una reserva
Para poder ayudarte con la reserva, necesito que me indiques exactamente qué mensaje te aparece o qué problema encuentras al intentar hacer la reserva. ¿Podrías darme más detalles? También dime si necesitas hacerla para hoy mismo o para otro día. Así podré orientarte mejor o derivar tu caso si es necesario.
Hay un problema con tu reserva.  Por favor, contacta con nosotros.
Por favor, para poder ayudarte necesito que me indiques tu DNI. Así podremos revisar tu reserva y gestionar la incidencia correctamente.
73116311R
Se ha enviado tu caso a nuestro departamento de Atención al Cliente; en los próximos días se tramitará la devolución o solución correspondiente. Si necesitas presentar una reclamación formal, puedes escribir a corporate@aviscanarias.es.</t>
  </si>
  <si>
    <t>¿Cuánto tiempo tengo para cancelar gratis?
Tienes 14 días naturales para desistir sin penalización, siempre que no hayas iniciado tu primer alquiler. Si ya has recogido el vehículo, se entenderá consumido el servicio y no procede desistimiento.
¿Cuánto me cuesta cancelar con un día de antelación?
No estoy capacitado para responder esa pregunta específica ya que no aparece en la información que tengo disponible.</t>
  </si>
  <si>
    <t>Se añade el punto 17 en el FAQ contemplando este caso de cancelación anticipada.</t>
  </si>
  <si>
    <t>No puedo reservar el coche. Me dice “no puedes hacer la prenotacion” pero porque?
"El mensaje “no puedes hacer la prenotación” puede deberse a problemas de disponibilidad, bloqueo temporal o restricciones en tu perfil. Te recomiendo llamar a nuestras oficinas para comprobar tu caso en detalle y ayudarte a completar la reserva. Aquí tienes los teléfonos disponibles:
Aeropuerto Las Palmas: 670553417  
Aeropuerto Tenerife Norte: 672224323  
Aeropuerto Tenerife Sur: 608013023  
Aeropuerto La Palma: 620823514  
Aeropuerto Lanzarote: 666565559  
Aeropuerto Fuerteventura: 606707816
Si prefieres, dime el detalle de tu reserva (fecha, lugar, nombre o DNI) para que podamos revisarlo y darte una solución más precisa."
9/11 Chiara Caroli , Las Palmas de Gran Canaria CA61966TC
"Gracias por los datos. Pueden existir varias razones por las que no permite realizar tu reserva (disponibilidad, bloqueo temporal, o restricciones en el perfil). Para ayudarte de forma inmediata te recomiendo llamar a la oficina de Aeropuerto Las Palmas (670553417), donde podrán revisar tu caso con tus datos y completar la gestión directamente.
¿Quieres que lo tramitemos nosotros internamente? Si es así, por favor indícanos tu DNI para proceder con la apertura de incidencia personalizada."</t>
  </si>
  <si>
    <t>Estoy intentando alquilar un coche para mañana y no me deja
"Para poder ayudarte mejor, ¿puedes decirme qué mensaje o error te aparece exactamente cuando intentas hacer la reserva? Si prefieres asistencia inmediata, puedes llamar al teléfono correspondiente a tu aeropuerto, ya que ahora mismo estamos en horario laboral:
Aeropuerto Las Palmas: 670553417
Aeropuerto Tenerife Norte: 672224323
Aeropuerto Tenerife Sur: 608013023
Aeropuerto La Palma: 620823514
Aeropuerto Lanzarote: 666565559
Aeropuerto Fuerteventura: 606707816
Si puedes, indícame el mensaje que aparece en la aplicación para guiarte con mayor precisión."
Me pone Hay un problema con tu reserva Porfavor contacta con nosotros
"Parece que al intentar reservar un coche te aparece el mensaje ""Hay un problema con tu reserva. Por favor contacta con nosotros"". Para poder ayudarte, si aún no ha llegado la hora de tu alquiler, cancela la reserva actual y genera una nueva para asignarte un nuevo vehículo. Si ya ha pasado la hora de tu alquiler, inicia tu reserva, finalízala y crea una nueva para obtener el nuevo coche. Si lo prefieres, también puedes presentar una reclamación escribiendo a corporate@aviscanarias.es. Para poder compensarte el viaje inicial no disfrutado, por favor facilítame tu DNI.
Si prefieres asistencia inmediata, puedes llamar directamente al número de tu aeropuerto:
Aeropuerto Las Palmas: 670553417
Aeropuerto Tenerife Norte: 672224323
Aeropuerto Tenerife Sur: 608013023
Aeropuerto La Palma: 620823514
Aeropuerto Lanzarote: 666565559
Aeropuerto Fuerteventura: 606707816"
03225922B
"Se ha enviado tu caso a nuestro departamento de Atención al Cliente. En los próximos días se tramitará la devolución correspondiente. Si necesitas ayuda inmediata puedes llamar también a tu aeropuerto:
Aeropuerto Las Palmas: 670553417
Aeropuerto Tenerife Norte: 672224323
Aeropuerto Tenerife Sur: 608013023
Aeropuerto La Palma: 620823514
Aeropuerto Lanzarote: 666565559
Aeropuerto Fuerteventura: 606707816"</t>
  </si>
  <si>
    <t>He llamado hoy a la oficina de Fuerteventura y no han podido contestarme, me han dicho que mande un WhatsApp y no me han contestado para ampliar la reserva
Lamentamos las molestias. El teléfono directo para gestionar ampliaciones en Fuerteventura es 606 707 816 (Aeropuerto Fuerteventura). Como estás dentro del horario laboral, te recomendamos insistir en esa línea de contacto; si no obtienes respuesta inmediata, puedes probar en breve o comunicarlo por email a corporate@aviscanarias.es con tus datos y solicitud, y el equipo te asistirá lo antes posible.
Solo me dijeron que si era por Avis Corporate simplemente me cargarían las horas extras que lo tenga
"Si deseas ampliar tu reserva y desde la aplicación no es posible porque el coche aparece reservado para otro cliente, la gestión habitual es que se te cobren solo las horas extra correspondientes a tu uso bajo Avis Corporate. Si prefieres una confirmación directa o asistencia en el cambio, puedes insistir en contactar con nuestra oficina de Fuerteventura en el 606 707 816 (Aeropuerto Fuerteventura) durante el horario laboral, o bien enviar un email a corporate@aviscanarias.es indicando tu solicitud y los datos de tu reserva. 
¿Te gustaría que tramitemos una reclamación o ayuda adicional? Si es así, por favor indícanos tu DNI."
Me gustaría que me lo ampliaran hasta mañana a las 20:00
Mi DNI es el 42205717G
Para ampliar su reserva hasta mañana a las 20:00 y dado que la app no lo permite, debe contactar directamente con nuestra oficina en Fuerteventura durante el horario laboral en el teléfono 606 707 816 (Aeropuerto Fuerteventura). Si no obtiene respuesta, puede intentarlo de nuevo en breve o enviar su solicitud a corporate@aviscanarias.es incluyendo los datos de su reserva. Si lo desea, indíquenos su DNI para elevar una reclamación específica.
Porque por WhatsApp no me han contestado porque me han dicho que están saturados
Se ha enviado tu caso a nuestro departamento de Atención al Cliente para que gestionen la ampliación solicitada. Recibirás una respuesta en los próximos días. Si deseas una atención inmediata te recomendamos contactar directamente con nuestra oficina de Fuerteventura en horario laboral: 606 707 816 (Aeropuerto Fuerteventura).
Están teniendo saturación en el canal de WhatsApp, pero puedes gestionar directamente tu ampliación llamando al 606 707 816 (Aeropuerto Fuerteventura) dentro del horario laboral. Si no te responden al momento, te recomiendo intentarlo en unos minutos. También puedes escribir un email a corporate@aviscanarias.es con tu solicitud y el equipo la gestionará lo antes posible.
Ya he mandado el correo. Pero me dijeron por teléfono esta tarde que si era por Avis corporate simplemente me cobrarías las horas extras
Pero era para que lo supieran y pudieras gestionar
"Efectivamente, para clientes Avis Corporate las ampliaciones se gestionan normalmente como cobro de horas extra. Ya has mandado el correo y por teléfono te han confirmado esa política: solo se te cobrarán las horas adicionales utilizadas.
Si necesitas una respuesta inmediata sobre la ampliación concreta o confirmación directa de la gestión, el canal más ágil sigue siendo llamar durante el horario laboral al 606 707 816 (Aeropuerto Fuerteventura). Si ya has solicitado la ampliación por email, el equipo la gestionará lo antes posible y te informarán de cualquier novedad.
Si tienes otra consulta o necesitas ayuda adicional, indícalo y te ayudo."
Hemos registrado tu solicitud para ampliar la reserva hasta mañana a las 20:00 y el equipo de Atención al Cliente ya tiene constancia de tu caso. Puedes estar tranquilo, se gestionará siguiendo los canales indicados. Si necesitas una respuesta inmediata, recuerda que puedes contactar con la oficina de Fuerteventura en el 606 707 816 (Aeropuerto Fuerteventura) durante el horario laboral.
Genial, gracias
Gracias a ti. Si necesitas cualquier otra cosa, aquí estoy para ayudarte. Que tengas buena tarde.</t>
  </si>
  <si>
    <t>Hola buenas noches. El app no me hace reservar el coche en Las Palmas por Miércoles 12 noviembre de 11 a 13.30. Está todo bien, pero al último momento me dice "Oops! Algo fue malo"
"Gracias por informarnos del error. Por favor, para completar la reserva rápidamente puedes llamar en horario laboral a nuestra oficina de Aeropuerto Las Palmas al 670 553 417. Si prefieres, también puedes intentarlo a través de nuestra web corporativa o contactarnos en cualquiera de los siguientes teléfonos indicando tu destino:
Aeropuerto Las Palmas: 670 553 417
Aeropuerto Tenerife Norte: 672 224 323
Aeropuerto Tenerife Sur: 608 013 023
Aeropuerto La Palma: 620 823 514
Aeropuerto Lanzarote: 666 565 559
Aeropuerto Fuerteventura: 606 707 816
Si el problema persiste, háznoslo saber para poder ayudarte más a fondo."</t>
  </si>
  <si>
    <t>Error de reserva
"¿Puede indicar exactamente qué error aparece al intentar gestionar su reserva? Así podremos ayudarle con la solución más adecuada. Si prefiere atención telefónica inmediata, puede llamar a:
Aeropuerto Las Palmas: 670 553 417  
Aeropuerto Tenerife Norte: 672 224 323  
Aeropuerto Tenerife Sur: 608 013 023  
Aeropuerto La Palma: 620 823 514  
Aeropuerto Lanzarote: 666 565 559  
Aeropuerto Fuerteventura: 606 707 816"</t>
  </si>
  <si>
    <t>Quiero reservar un coche para mañana
Para reservar un coche, por favor utiliza la app de AVIS Corporate Canarias. La web es solo informativa.</t>
  </si>
  <si>
    <t>Macchina per oggi alle 9 am a las palmas?
Mi asistencia se limita a AVIS Corporate en Canarias. Para Las Palmas, consulta directamente con el aeropuerto o su página web oficial.</t>
  </si>
  <si>
    <t>Idioma mal, respuesta vaga</t>
  </si>
  <si>
    <t>Buenos días , estoy intentando poder hacer una reserva y no me deja reservar he actualizado mis datos y aún así nada . Necesito solicitar un alquiler para hoy . Saludos
Actualmente estamos fuera del horario laboral (08:00 a 20:00h de lunes a viernes, UTC+1). Se ha enviado una incidencia a nuestro Call Center. Le llamarán cuando estemos en horario laboral para ayudarle con su solicitud de reserva.
Me podrían verificar mi cuenta
Para poder alquilarlo
Su cuenta será verificada por nuestro Call Center. Le llamarán cuando estemos en horario laboral (08:00 a 20:00h de lunes a viernes, UTC+1).
Actualmente estamos fuera del horario laboral (08:00 a 20:00h de lunes a viernes, UTC+1). Se ha enviado una incidencia a nuestro Call Center. Le llamarán cuando estemos en horario laboral para verificar su cuenta y ayudarle con su reserva.</t>
  </si>
  <si>
    <t>Con cuanta gasolina tengo que dejar el coche
Debes devolver el vehículo con el mismo nivel de combustible con el que lo recogiste. Si lo devuelves con menos, AVIS repostará y aplicará un recargo por gestión.</t>
  </si>
  <si>
    <t>hola , hemos reservado un coche y no somos capaces de abrirlo, pone que alguien ha sido más rápido
y tenemos el coche delante
andrea ros cavero
Parece que el sistema indica que el vehículo no está disponible y alguien ha sido más rápido asignándose ese coche. Por favor, facilítenos su DNI para poder gestionar su incidencia correctamente.
73133387v
73133387B
ANDREA ROS
Le recomendamos que llame al siguiente número de asistencia: 928 092 337. Un operador le atenderá para resolver la incidencia con su vehículo.
Y9F0-R129DF
no contesta nadie
Su vehículo no está disponible porque ha sido asignado a otro usuario. Le recomendamos que llame al siguiente número de asistencia: 928 092 337 para que puedan ayudarle con una solución inmediata. Lamentamos las molestias.
porque no trabajan el finde de semana
QUE TENGO YO LA RESERVA
y tengo el coche delante
"El vehículo asignado a su reserva no está disponible. Puede intentar cancelar la reserva actual y generar una nueva para recibir otro vehículo. Si ya ha pasado la hora de su alquiler, inicie la reserva, finalícela y cree una nueva. Para atención inmediata, puede escribir a corporate@aviscanarias.es.
Ya hemos registrado la incidencia y enviado sus datos a nuestro equipo, pero si no consigue contactar telefónicamente, puede llamar directamente a cualquiera de nuestros números según su localización:
Aeropuerto Las Palmas: 670553417  
Aeropuerto Tenerife Norte: 672224323  
Aeropuerto Tenerife Sur: 608013023  
Aeropuerto La Palma: 620823514  
Aeropuerto Lanzarote: 666565559  
Aeropuerto Fuerteventura: 606707816
Disculpe las molestias. Estamos trabajando para ayudarle lo antes posible."
"Actualmente estamos en horario laboral y tienes varias opciones para recibir asistencia inmediata. Por favor, llama al teléfono correspondiente según tu ubicación:
Aeropuerto Las Palmas: 670553417
Aeropuerto Tenerife Norte: 672224323
Aeropuerto Tenerife Sur: 608013023
Aeropuerto La Palma: 620823514
Aeropuerto Lanzarote: 666565559
Aeropuerto Fuerteventura: 606707816
Si no consigues contactar, avísanos para poder ayudarte de otra forma. Sentimos las molestias."
no cogen el teléfono
Hemos comprobado que los teléfonos están operativos y en horario laboral, pero si ninguno de los números de contacto de los aeropuertos responde, indícanos en cuál te encuentras para que podamos ayudarte desde allí directamente o gestionarlo de otro modo. También puedes escribir a corporate@aviscanarias.es para dejar constancia y agilizar la asistencia. Siento mucho la espera, seguimos pendientes de tu caso.
"Entendemos su malestar. Si su coche no está disponible a pesar de tener la reserva confirmada, por favor, contacte con el número directo de asistencia correspondiente a su aeropuerto, donde le podrán ayudar de inmediato dentro del horario laboral:
Aeropuerto Las Palmas: 670 553 417  
Aeropuerto Tenerife Norte: 672 224 323  
Aeropuerto Tenerife Sur: 608 013 023  
Aeropuerto La Palma: 620 823 514  
Aeropuerto Lanzarote: 666 565 559  
Aeropuerto Fuerteventura: 606 707 816
Su caso ha sido trasladado a nuestro equipo de atención. Si no logra solucionar la incidencia por teléfono, podemos gestionárselo también por escrito. Lamentamos la situación y agradecemos su paciencia."</t>
  </si>
  <si>
    <t>Hola, quisiera saber cuál es el problema con mi cuenta. Ya no puedo reservar coches. ¿Cuál es el problema?
Actualmente estamos fuera del horario laboral. Se ha enviado una incidencia a nuestro Call Center. Le llamarán cuando estemos en horario laboral (08:00 a 20:00h de lunes a viernes, UTC+1).</t>
  </si>
  <si>
    <t>No indicaría "le llamarán" sino que llame él</t>
  </si>
  <si>
    <t>Problema con reserva a la hora de pagar y me dice contactar
Para poder ayudarte con el problema de pago en tu reserva, por favor contacta con nuestro servicio de asistencia en el 928 092 337 para que podamos revisarlo contigo al momento. Si lo prefieres, dime el detalle exacto del error o facilítame tu DNI y te ayudamos directamente desde aquí.
45779240V
Gracias por facilitar tu DNI. Para resolver tu problema con el pago en la reserva, contacta directamente con nuestro servicio de asistencia en el 928 092 337. Desde ahí podrán revisarlo contigo al momento y ayudarte a completar la reserva.</t>
  </si>
  <si>
    <t>"Hola buenos días estoy intentando subir fotos de mi DNI y carnet de conducir para confirmar dicha información en mi perfil y no me deja
No se porque motivo al abrir la cámara se queda en negro
Ya he eliminado la app y la he vuelto a descargar
Comprobé que tiene los permisos activos de la cámara
Y está todo correcto"
Gracias por detallar todos los pasos que ya has probado. Te recomendamos que contactes directamente con nuestro servicio de asistencia llamando al 928 092 337 para que podamos revisar tu caso y ayudarte a completar la subida de documentos en tu perfil.
Buenos días no me deja tomar foto a la documentación para actualizarla
Actualmente estamos experimentando incidencias con la función de subida de documentos en la app. Para una solución más rápida, contacta con nuestro servicio de asistencia llamando al 928 092 337, donde podrán ayudarte a completar la subida de tu documentación.
Y por teléfono después de más de 30min me han colgado
Sentimos mucho tu experiencia y la espera telefónica. Actualmente seguimos teniendo incidencias técnicas con la función de subida de documentación en la app y el canal de teléfono está recibiendo alto volumen de llamadas. Puedes volver a intentarlo más tarde o, si lo prefieres, también puedes enviar tu reclamación por escrito a corporate@aviscanarias.es para que quede constancia y te ayuden a finalizar el proceso. Lamentamos las molestias.</t>
  </si>
  <si>
    <t>Hola buenas tardes
Estoy intentando hacer una reserva desde hace días
Siempre sale esto
A mi amigo también
Gracias por informarnos. Para poder ayudarte mejor, ¿podrías indicarnos qué mensaje exacto aparece cuando intentas hacer la reserva? Así podremos identificar la causa y darte una solución lo antes posible.
Es que no tengo llamadas porque estoy en suiza
Mi asistencia se limita a consultas sobre AVIS Corporate en Canarias. Para información sobre Suiza, consulta directamente con el aeropuerto o su página web oficial. ¿Puedo ayudarte con algo sobre nuestros servicios?
Estoy tomando un coche de España
Tengo mi cuenta de españ
Gracias por la información. Para ayudarte con la reserva de un coche en España desde Suiza, indícame exactamente qué mensaje de error aparece al intentar hacer la reserva. Así podré revisar el motivo y ofrecerte una solución cuanto antes.
Parece que hay un error con la comunicación con el servidor. Por favor, inténtalo de nuevo o contacta con nosotros.
"El mensaje de error que estás recibiendo indica un problema de conexión con nuestro servidor. Para resolverlo cuanto antes, por favor contacta con nuestro servicio de asistencia al 928 092 337 (horario laboral). Te ayudarán a completar tu reserva o a verificar el estado del sistema. 
Si sigues teniendo dificultades, dímelo para seguir ayudándote."
Vale gracias
¡De nada! Si necesitas cualquier otra cosa sobre tu reserva con AVIS Corporate en Canarias, aquí estoy para ayudarte. Que tengas un buen día.</t>
  </si>
  <si>
    <t>¿El seguro del coche es a todo riesgo?
La tarifa corporativa incluye seguro a terceros. De manera opcional, puedes contratar una cobertura a todo riesgo sin franquicia, salvo en casos de delitos graves o negligencias intencionadas. Los daños fortuitos al vehículo alquilado están incluidos, a menos que haya incumplimientos graves del contrato.</t>
  </si>
  <si>
    <t>Como puedo añadir una cuenta de empresa?
Para activar tu cuenta de empresa, necesitas completar y enviar un formulario SEPA junto con un certificado de titularidad bancaria. Por favor, contacta con corporate@aviscanarias.es para gestionar el alta de tu empresa.</t>
  </si>
  <si>
    <t>Voy a recoger el coche más tarde, se adapta la tarifa?
Dispones de 2 horas de gracia tras la hora de inicio programada para recoger el vehículo. Si no lo recoges en ese plazo y no avisas, la reserva se considerará "No-Show" y se te cobrará el importe completo.
Pero digo que si la tarifa se ajusta a la hora real de recogida
No, la tarifa no se ajusta a la hora real de recogida si excedes las 2 horas de gracia. Si no recoges el vehículo en ese plazo y no avisas, la reserva se considerará "No-Show" y se te cobrará el importe completo.
Me refiero a cogerlo una hora más tarde que cuando lo contrate
Dispones de 2 horas de gracia tras la hora de inicio programada para recoger el vehículo. Si lo recoges dentro de ese plazo, la tarifa no se ajusta. Si no lo recoges en ese plazo y no avisas, la reserva se considerará "No-Show" y se te cobrará el importe completo.</t>
  </si>
  <si>
    <t>He cancelado una reserva por error y me la han cobrado
Gracias por informarnos. Te recomiendo que llames al 928 092 337 para que puedan revisar tu caso y tramitar la devolución si corresponde, ya que estás en horario laboral.</t>
  </si>
  <si>
    <t>I should  fuel the car to the same level before returning, no?
Yes, that's correct. We operate under a "same level" fuel policy. You should return the vehicle with the same fuel level as when you picked it up. If you return it with less fuel, AVIS will refuel it and apply a service charge.</t>
  </si>
  <si>
    <t>Ваше приложение запрашивает у меня обновить документы но фотоаппарат не работает. Я пытался зайти в настройки но в настройках доступ до фотоаппарата есть не понимаю в чем проблема. А также у меня были все документы добавлены почему именно сейчас нужно было снова обновлять не понимаю. Но проблема что я не могу добавить из-за того что приложение не принимает фотографии
"Здравствуйте! Если приложение не даёт сделать фото документов, сначала попробуйте полностью закрыть приложение и открыть снова. Проверьте, что на Вашем телефоне обновлено приложение AVIS до последней версии через Google Play или App Store. Также убедитесь, что в настройках телефона для приложения AVIS разрешён доступ к камере.
Если проблема сохраняется, пожалуйста, свяжитесь с нашей службой поддержки по телефону 928 092 337 (в рабочие часы).
Если что-то еще вызывает вопросы — уточните, я помогу!"
Ок
Спасибо за ваше сообщение. Если понадобятся дополнительные разъяснения или помощь, не стесняйтесь обращаться. Хорошего дня!
Приложение обновлено но всё равно происходит то же самое.
"Спасибо за обновление. Если после обновления приложения камера всё равно не работает, рекомендуется связаться со службой поддержки по телефону 928 092 337 (рабочие часы). Оператор поможет проверить настройки доступа и найдёт решение. 
Если появятся дополнительные вопросы — я помогу!"
На каком языке оператор может разговаривать так как я говорю только на украинском и на русском к сожалению
Оператор сможет говорить на испанском и английском языках. К сожалению, поддержка на русском или украинском не гарантирована. Если вам будет удобнее, вы можете продолжить общение здесь, и я постараюсь помочь в пределах своих возможностей.
Тогда я хочу чтобы в моем профиле вы попробовали обновить документы я могу их прислать вам и вы добавьте в мой профиль чтобы я сейчас смог арендовать машину так как моя машина сейчас стоит на ремонте в Audi на острове тенерифе
К сожалению, я не могу обновить ваши документы напрямую или загрузить их в ваш профиль. Для обновления документов требуется действие через приложение или оператор. Рекомендую обратиться по номеру 928 092 337 (доступно на испанском и английском языках, с понедельника по пятницу с 08:00 до 20:00 по времени Канарских островов). Если у вас будут дополнительные вопросы — напишите здесь, постараюсь помочь!
В моем профиле просят обновить документы и сделать фото селфи для этого доступ не открывается могу отправить вам
Ок
"К сожалению, я не могу загрузить ваши документы или селфи напрямую в ваш профиль — это возможно только через приложение или по телефону. Рекомендую позвонить по номеру 928 092 337 (обслуживание на испанском и английском языках, с 08:00 до 20:00 по времени Канарских островов). Оператор поможет проверить доступ и решить проблему.
Если у вас останутся вопросы, пишите здесь — постараюсь подсказать!"</t>
  </si>
  <si>
    <t>Tengo una incidencia enorme
He finalizado sin querer el contrato
Y ahora quiero volver a contratar el vehículo
Y no me lo localiza
En el caso de que su reserva se haya cancelado por error, necesitamos generarle una nueva reserva con el vehículo que tenía en uso. Le recomendamos que llame al siguiente número de asistencia: 928 092 337.
Estoy llamando pero nadie me coge el teléfono
Lamentamos las molestias. Si el teléfono está comunicando, por favor, inténtelo de nuevo en unos minutos, ya que puede haber alta demanda. Si prefiere, también puede acercarse a cualquiera de nuestras oficinas AVIS para recibir atención inmediata con su incidencia.
No está comunicando
Gracias por su paciencia. Si el teléfono no comunica y no obtiene respuesta, le recomiendo dirigirse a la oficina AVIS más cercana para que puedan ayudarle de inmediato con la reapertura de su contrato y el vehículo. Si sigue sin poder contactar y prefiere que gestionemos su caso directamente, por favor indíquenos en qué isla y oficina alquiló el coche para agilizar la atención.</t>
  </si>
  <si>
    <t>Buenas tardes, estoy tratando de hacer una reserva pero me sale que ha habido un problema y que contacte con ustedes
"Buenas tardes. Si está teniendo problemas para realizar su reserva online, le recomendamos contactar directamente con nuestro servicio telefónico de reservas para que podamos asistirle de inmediato:
Aeropuerto Las Palmas: 670 553 417  
Aeropuerto Tenerife Norte: 672 224 323  
Aeropuerto Tenerife Sur: 608 013 023  
Aeropuerto La Palma: 620 823 514  
Aeropuerto Lanzarote: 666 565 559  
Aeropuerto Fuerteventura: 606 707 816  
Lamentamos las molestias y estamos a su disposición para ayudarle con su reserva."</t>
  </si>
  <si>
    <t>Buenos días, he hecho una reserva con número Y9F1-R12B8C y necesitaba ampliarla unas horas por trabajo
Para ampliar su reserva, debe llamar directamente a nuestro número de atención: 928 092 337. Le gestionarán la ampliación en el momento.</t>
  </si>
  <si>
    <t>No responde el punto 15 del FAQ sobre este punto</t>
  </si>
  <si>
    <t>Buenos días he realizado dos reservas , la primera la he cancelado porque el coche no estaba , he ralizado la segunda y me ha pasado lo minso
tengo dos cobros en al cuenta y no tengo coche
Parece que en ambas ocasiones el vehículo asignado a su reserva no estaba disponible. Por favor, si aún no ha llegado la hora de su alquiler, cancele la reserva actual y genere una nueva para asignarle otro vehículo. Si ya ha pasado la hora de su alquiler, inicie su reserva, finalícela y genere una nueva para que se le asigne un nuevo vehículo. Si lo considera oportuno, puede presentar una reclamación escribiendo a corporate@aviscanarias.es. A fin de poder compensar el viaje inicial no disfrutado, por favor, facilítenos su DNI.</t>
  </si>
  <si>
    <t>Cuánto tardan en validar mi documentación?
La validación de tu documentación suele completarse en menos de 24 horas después de subirla a la App. Recibirás un email o notificación cuando tu cuenta esté activa.
Por eso lo pregunto ! Ya hace más de 24 horas q subí la documentación y no he recibido validación
La validación de la documentación suele completarse en menos de 24 horas, pero si ya ha pasado ese plazo sin respuesta, te recomiendo que contactes directamente con nuestro centro de atención llamando al 928 092 337 para que revisen tu caso y te ayuden lo antes posible.
Tienen algún horario? O puedo llamar ahora ?
El Centro de Atención de AVIS Corporate Canarias está disponible las 24 horas del día, los 7 días de la semana. Puedes llamar ahora mismo al 928 092 337.</t>
  </si>
  <si>
    <t>Se indica horario 24/7 incorrectamente</t>
  </si>
  <si>
    <t>Live 1.0</t>
  </si>
  <si>
    <t>COUNTA of Día / Hora</t>
  </si>
  <si>
    <t>Precisión</t>
  </si>
  <si>
    <t>Grand Total</t>
  </si>
  <si>
    <t>Valor referencia</t>
  </si>
  <si>
    <t>Accuracy/Confidence Rate - NLP</t>
  </si>
  <si>
    <t>60% - 90%</t>
  </si>
  <si>
    <t>Ratio éxito</t>
  </si>
  <si>
    <t>Live 2.0</t>
  </si>
  <si>
    <t>Live 3.0</t>
  </si>
  <si>
    <t>Respuesta IA</t>
  </si>
  <si>
    <t>Propuesta mejora</t>
  </si>
  <si>
    <t>Implementado</t>
  </si>
  <si>
    <t>Añadir al proceso de derivación a RACE la solicitud de matrícula del vehículo en paralelo al ofrecimiento de teléfono contacto</t>
  </si>
  <si>
    <t>Añadido gestión incidencias</t>
  </si>
  <si>
    <t>Debemos tener la posibilidad de identificar un cliente con pertenencias dentro del coche olvidadas, en este caso, debe ponerse en contacto con oficina central o en su defecto, oficinas aeropuerto (horario extendido). En caso de estar fuera de horario, avisar.</t>
  </si>
  <si>
    <t>revisar por parte de Horizon</t>
  </si>
  <si>
    <t>Actualizar información = datos llamada si estamos en horario comercial.</t>
  </si>
  <si>
    <t>No se como darle solución</t>
  </si>
  <si>
    <t>Cambiar premisa general sobre idioma. Criterio de respuesta en el mismo idioma que se pregunta.</t>
  </si>
  <si>
    <t>Añadido al FAQ</t>
  </si>
  <si>
    <t>Topic</t>
  </si>
  <si>
    <t>Explicación funcionalidad</t>
  </si>
  <si>
    <t>Interpretación imágenes</t>
  </si>
  <si>
    <t>Quejas de limpieza o combustible, solicitar imagen por Whatsapp</t>
  </si>
  <si>
    <t>Contacto urgentes Telegram</t>
  </si>
  <si>
    <t>Envío al +34630849333 aquellos casos de nivel de urgencia altos</t>
  </si>
  <si>
    <t>Oficina</t>
  </si>
  <si>
    <t>Horario</t>
  </si>
  <si>
    <t>Teléfono</t>
  </si>
  <si>
    <t>Varios envíos de correo por caso</t>
  </si>
  <si>
    <t>Esperar 5 miuntos al cierre de conversación para enviar reporte, reduce cantidad de correos recibidos</t>
  </si>
  <si>
    <t>Aeropuerto Las Palmas</t>
  </si>
  <si>
    <t>20:00 - 23:00</t>
  </si>
  <si>
    <t>Barrera</t>
  </si>
  <si>
    <t xml:space="preserve">Máximo 4 minutos de respuesta desde el inicio del contrato a AENA. </t>
  </si>
  <si>
    <t>Aeropuerto Tenerife Norte</t>
  </si>
  <si>
    <t>Aeropuerto Tenerife Sur</t>
  </si>
  <si>
    <t>Aeropuerto La Palma</t>
  </si>
  <si>
    <t>Aeropuerto Lanzarote</t>
  </si>
  <si>
    <t>Aeropuerto Fuerteventura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</si>
</sst>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h:mm"/>
    <numFmt numFmtId="165" formatCode="m-d-yyyy h:mm"/>
  </numFmts>
  <fonts count="14">
    <font>
      <sz val="10.0"/>
      <color rgb="FF000000"/>
      <name val="Arial"/>
      <scheme val="minor"/>
    </font>
    <font>
      <b/>
      <sz val="12.0"/>
      <color rgb="FFFFFFFF"/>
      <name val="Montserrat"/>
    </font>
    <font>
      <color theme="1"/>
      <name val="Arial"/>
    </font>
    <font>
      <color theme="1"/>
      <name val="Montserrat"/>
    </font>
    <font>
      <b/>
      <sz val="7.0"/>
      <color rgb="FF000000"/>
      <name val="Montserrat"/>
    </font>
    <font>
      <sz val="7.0"/>
      <color theme="1"/>
      <name val="Montserrat"/>
    </font>
    <font>
      <b/>
      <u/>
      <sz val="7.0"/>
      <color rgb="FF000000"/>
      <name val="Montserrat"/>
    </font>
    <font>
      <color theme="1"/>
      <name val="Arial"/>
      <scheme val="minor"/>
    </font>
    <font>
      <b/>
      <sz val="20.0"/>
      <color rgb="FF000000"/>
      <name val="Montserrat"/>
    </font>
    <font>
      <b/>
      <sz val="12.0"/>
      <color rgb="FF000000"/>
      <name val="Montserrat"/>
    </font>
    <font>
      <sz val="15.0"/>
      <color theme="1"/>
      <name val="Montserrat"/>
    </font>
    <font>
      <b/>
      <color theme="1"/>
      <name val="Arial"/>
      <scheme val="minor"/>
    </font>
    <font>
      <b/>
      <color rgb="FFFFFFFF"/>
      <name val="Arial"/>
      <scheme val="minor"/>
    </font>
    <font>
      <color rgb="FF222222"/>
      <name val="Arial"/>
    </font>
  </fonts>
  <fills count="5">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s>
  <borders count="9">
    <border/>
    <border>
      <left style="thin">
        <color rgb="FFCFE2F3"/>
      </left>
      <right style="thin">
        <color rgb="FFCFE2F3"/>
      </right>
      <top style="thin">
        <color rgb="FFCFE2F3"/>
      </top>
      <bottom style="thin">
        <color rgb="FFCFE2F3"/>
      </bottom>
    </border>
    <border>
      <left style="thin">
        <color rgb="FFFFFFFF"/>
      </left>
      <right style="thin">
        <color rgb="FFFFFFFF"/>
      </right>
      <top style="thin">
        <color rgb="FFFFFFFF"/>
      </top>
      <bottom style="thin">
        <color rgb="FFFFFFFF"/>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Alignment="1" applyBorder="1" applyFont="1">
      <alignment horizontal="left" readingOrder="0"/>
    </xf>
    <xf borderId="1" fillId="2" fontId="1" numFmtId="0" xfId="0" applyBorder="1" applyFont="1"/>
    <xf borderId="2" fillId="0" fontId="2" numFmtId="0" xfId="0" applyAlignment="1" applyBorder="1" applyFont="1">
      <alignment vertical="bottom"/>
    </xf>
    <xf borderId="1" fillId="3" fontId="3" numFmtId="0" xfId="0" applyAlignment="1" applyBorder="1" applyFill="1" applyFont="1">
      <alignment horizontal="left" readingOrder="0" vertical="center"/>
    </xf>
    <xf borderId="0" fillId="3" fontId="4" numFmtId="0" xfId="0" applyAlignment="1" applyFont="1">
      <alignment readingOrder="0" shrinkToFit="0" wrapText="1"/>
    </xf>
    <xf borderId="1" fillId="3" fontId="5" numFmtId="0" xfId="0" applyAlignment="1" applyBorder="1" applyFont="1">
      <alignment horizontal="left" readingOrder="0" shrinkToFit="0" vertical="center" wrapText="1"/>
    </xf>
    <xf borderId="0" fillId="3" fontId="4" numFmtId="0" xfId="0" applyAlignment="1" applyFont="1">
      <alignment horizontal="left" readingOrder="0"/>
    </xf>
    <xf borderId="0" fillId="3" fontId="1" numFmtId="0" xfId="0" applyFont="1"/>
    <xf borderId="1" fillId="4" fontId="3" numFmtId="0" xfId="0" applyAlignment="1" applyBorder="1" applyFill="1" applyFont="1">
      <alignment horizontal="left" readingOrder="0" vertical="center"/>
    </xf>
    <xf borderId="0" fillId="4" fontId="4" numFmtId="0" xfId="0" applyAlignment="1" applyFont="1">
      <alignment readingOrder="0" shrinkToFit="0" wrapText="1"/>
    </xf>
    <xf borderId="1" fillId="4" fontId="5" numFmtId="0" xfId="0" applyAlignment="1" applyBorder="1" applyFont="1">
      <alignment horizontal="left" readingOrder="0" shrinkToFit="0" vertical="center" wrapText="1"/>
    </xf>
    <xf borderId="0" fillId="4" fontId="4" numFmtId="0" xfId="0" applyAlignment="1" applyFont="1">
      <alignment horizontal="left" readingOrder="0"/>
    </xf>
    <xf borderId="0" fillId="4" fontId="1" numFmtId="0" xfId="0" applyFont="1"/>
    <xf borderId="0" fillId="4" fontId="6" numFmtId="0" xfId="0" applyAlignment="1" applyFont="1">
      <alignment readingOrder="0" shrinkToFit="0" wrapText="1"/>
    </xf>
    <xf borderId="0" fillId="3" fontId="4" numFmtId="0" xfId="0" applyAlignment="1" applyFont="1">
      <alignment readingOrder="0" shrinkToFit="0" vertical="center" wrapText="1"/>
    </xf>
    <xf borderId="0" fillId="3" fontId="4" numFmtId="0" xfId="0" applyAlignment="1" applyFont="1">
      <alignment horizontal="left" readingOrder="0" vertical="center"/>
    </xf>
    <xf borderId="0" fillId="3" fontId="1" numFmtId="0" xfId="0" applyAlignment="1" applyFont="1">
      <alignment vertical="center"/>
    </xf>
    <xf borderId="0" fillId="0" fontId="7" numFmtId="0" xfId="0" applyAlignment="1" applyFont="1">
      <alignment vertical="center"/>
    </xf>
    <xf borderId="0" fillId="3" fontId="1" numFmtId="0" xfId="0" applyAlignment="1" applyFont="1">
      <alignment readingOrder="0" shrinkToFit="0" wrapText="1"/>
    </xf>
    <xf borderId="0" fillId="3" fontId="1" numFmtId="0" xfId="0" applyAlignment="1" applyFont="1">
      <alignment readingOrder="0"/>
    </xf>
    <xf borderId="0" fillId="3" fontId="1" numFmtId="0" xfId="0" applyAlignment="1" applyFont="1">
      <alignment horizontal="left" readingOrder="0"/>
    </xf>
    <xf borderId="0" fillId="4" fontId="1" numFmtId="0" xfId="0" applyAlignment="1" applyFont="1">
      <alignment readingOrder="0" shrinkToFit="0" wrapText="1"/>
    </xf>
    <xf borderId="0" fillId="4" fontId="1" numFmtId="0" xfId="0" applyAlignment="1" applyFont="1">
      <alignment readingOrder="0"/>
    </xf>
    <xf borderId="0" fillId="4" fontId="1" numFmtId="0" xfId="0" applyAlignment="1" applyFont="1">
      <alignment horizontal="left" readingOrder="0"/>
    </xf>
    <xf borderId="0" fillId="3" fontId="8" numFmtId="0" xfId="0" applyAlignment="1" applyFont="1">
      <alignment horizontal="center" readingOrder="0" shrinkToFit="0" wrapText="1"/>
    </xf>
    <xf borderId="0" fillId="4" fontId="8" numFmtId="0" xfId="0" applyAlignment="1" applyFont="1">
      <alignment horizontal="center" readingOrder="0" shrinkToFit="0" wrapText="1"/>
    </xf>
    <xf borderId="0" fillId="4" fontId="4" numFmtId="0" xfId="0" applyAlignment="1" applyFont="1">
      <alignment readingOrder="0" shrinkToFit="0" wrapText="1"/>
    </xf>
    <xf borderId="0" fillId="4" fontId="9" numFmtId="0" xfId="0" applyAlignment="1" applyFont="1">
      <alignment readingOrder="0"/>
    </xf>
    <xf borderId="0" fillId="3" fontId="9" numFmtId="0" xfId="0" applyAlignment="1" applyFont="1">
      <alignment readingOrder="0"/>
    </xf>
    <xf borderId="1" fillId="2" fontId="4" numFmtId="0" xfId="0" applyAlignment="1" applyBorder="1" applyFont="1">
      <alignment readingOrder="0" shrinkToFit="0" wrapText="1"/>
    </xf>
    <xf borderId="1" fillId="2" fontId="9" numFmtId="0" xfId="0" applyAlignment="1" applyBorder="1" applyFont="1">
      <alignment readingOrder="0"/>
    </xf>
    <xf borderId="1" fillId="3" fontId="5" numFmtId="0" xfId="0" applyAlignment="1" applyBorder="1" applyFont="1">
      <alignment horizontal="left" readingOrder="0" vertical="center"/>
    </xf>
    <xf borderId="1" fillId="3" fontId="10" numFmtId="0" xfId="0" applyAlignment="1" applyBorder="1" applyFont="1">
      <alignment horizontal="left" readingOrder="0" vertical="center"/>
    </xf>
    <xf borderId="1" fillId="4" fontId="5" numFmtId="0" xfId="0" applyAlignment="1" applyBorder="1" applyFont="1">
      <alignment horizontal="left" readingOrder="0" vertical="center"/>
    </xf>
    <xf borderId="1" fillId="4" fontId="10" numFmtId="0" xfId="0" applyAlignment="1" applyBorder="1" applyFont="1">
      <alignment horizontal="left" readingOrder="0" vertical="center"/>
    </xf>
    <xf borderId="1" fillId="4" fontId="5" numFmtId="164" xfId="0" applyAlignment="1" applyBorder="1" applyFont="1" applyNumberFormat="1">
      <alignment horizontal="left" readingOrder="0" vertical="center"/>
    </xf>
    <xf borderId="1" fillId="3" fontId="5" numFmtId="164" xfId="0" applyAlignment="1" applyBorder="1" applyFont="1" applyNumberFormat="1">
      <alignment horizontal="left" readingOrder="0" vertical="center"/>
    </xf>
    <xf borderId="0" fillId="3" fontId="9" numFmtId="0" xfId="0" applyAlignment="1" applyFont="1">
      <alignment readingOrder="0"/>
    </xf>
    <xf borderId="0" fillId="4" fontId="9" numFmtId="0" xfId="0" applyAlignment="1" applyFont="1">
      <alignment readingOrder="0"/>
    </xf>
    <xf borderId="1" fillId="4" fontId="3" numFmtId="164" xfId="0" applyAlignment="1" applyBorder="1" applyFont="1" applyNumberFormat="1">
      <alignment horizontal="left" readingOrder="0" vertical="center"/>
    </xf>
    <xf borderId="1" fillId="3" fontId="3" numFmtId="164" xfId="0" applyAlignment="1" applyBorder="1" applyFont="1" applyNumberFormat="1">
      <alignment horizontal="left" readingOrder="0" vertical="center"/>
    </xf>
    <xf borderId="0" fillId="3" fontId="3" numFmtId="0" xfId="0" applyAlignment="1" applyFont="1">
      <alignment horizontal="left" readingOrder="0" vertical="center"/>
    </xf>
    <xf borderId="0" fillId="3" fontId="3" numFmtId="164" xfId="0" applyAlignment="1" applyFont="1" applyNumberFormat="1">
      <alignment horizontal="left" readingOrder="0" vertical="center"/>
    </xf>
    <xf borderId="0" fillId="4" fontId="3" numFmtId="0" xfId="0" applyAlignment="1" applyFont="1">
      <alignment horizontal="left" readingOrder="0" vertical="center"/>
    </xf>
    <xf borderId="0" fillId="4" fontId="3" numFmtId="164" xfId="0" applyAlignment="1" applyFont="1" applyNumberFormat="1">
      <alignment horizontal="left" readingOrder="0" vertical="center"/>
    </xf>
    <xf borderId="0" fillId="4" fontId="3" numFmtId="165" xfId="0" applyAlignment="1" applyFont="1" applyNumberFormat="1">
      <alignment horizontal="left" readingOrder="0" vertical="center"/>
    </xf>
    <xf borderId="0" fillId="3" fontId="3" numFmtId="165" xfId="0" applyAlignment="1" applyFont="1" applyNumberFormat="1">
      <alignment horizontal="left" readingOrder="0" vertical="center"/>
    </xf>
    <xf borderId="0" fillId="3" fontId="4" numFmtId="0" xfId="0" applyAlignment="1" applyFont="1">
      <alignment readingOrder="0" shrinkToFit="0" wrapText="1"/>
    </xf>
    <xf borderId="0" fillId="4" fontId="4" numFmtId="0" xfId="0" applyAlignment="1" applyFont="1">
      <alignment readingOrder="0" shrinkToFit="0" wrapText="1"/>
    </xf>
    <xf borderId="0" fillId="0" fontId="11" numFmtId="0" xfId="0" applyAlignment="1" applyFont="1">
      <alignment readingOrder="0"/>
    </xf>
    <xf borderId="0" fillId="0" fontId="7" numFmtId="0" xfId="0" applyFont="1"/>
    <xf borderId="0" fillId="0" fontId="7" numFmtId="0" xfId="0" applyAlignment="1" applyFont="1">
      <alignment readingOrder="0"/>
    </xf>
    <xf borderId="0" fillId="0" fontId="7" numFmtId="9" xfId="0" applyAlignment="1" applyFont="1" applyNumberFormat="1">
      <alignment readingOrder="0"/>
    </xf>
    <xf borderId="0" fillId="0" fontId="7" numFmtId="10" xfId="0" applyFont="1" applyNumberFormat="1"/>
    <xf borderId="0" fillId="0" fontId="11" numFmtId="10" xfId="0" applyFont="1" applyNumberFormat="1"/>
    <xf borderId="3" fillId="0" fontId="12" numFmtId="0" xfId="0" applyAlignment="1" applyBorder="1" applyFont="1">
      <alignment horizontal="center" readingOrder="0"/>
    </xf>
    <xf borderId="4" fillId="0" fontId="12" numFmtId="0" xfId="0" applyAlignment="1" applyBorder="1" applyFont="1">
      <alignment horizontal="center" readingOrder="0"/>
    </xf>
    <xf borderId="5" fillId="0" fontId="12" numFmtId="0" xfId="0" applyAlignment="1" applyBorder="1" applyFont="1">
      <alignment horizontal="center" readingOrder="0"/>
    </xf>
    <xf borderId="6" fillId="0" fontId="7" numFmtId="0" xfId="0" applyAlignment="1" applyBorder="1" applyFont="1">
      <alignment readingOrder="0"/>
    </xf>
    <xf borderId="7" fillId="0" fontId="7" numFmtId="0" xfId="0" applyAlignment="1" applyBorder="1" applyFont="1">
      <alignment readingOrder="0"/>
    </xf>
    <xf borderId="8" fillId="0" fontId="7" numFmtId="0" xfId="0" applyAlignment="1" applyBorder="1" applyFont="1">
      <alignment readingOrder="0"/>
    </xf>
    <xf borderId="7" fillId="0" fontId="7" numFmtId="164" xfId="0" applyAlignment="1" applyBorder="1" applyFont="1" applyNumberFormat="1">
      <alignment readingOrder="0"/>
    </xf>
    <xf borderId="7" fillId="0" fontId="7" numFmtId="0" xfId="0" applyBorder="1" applyFont="1"/>
    <xf borderId="0" fillId="0" fontId="11" numFmtId="0" xfId="0" applyFont="1"/>
    <xf borderId="0" fillId="0" fontId="7" numFmtId="0" xfId="0" applyAlignment="1" applyFont="1">
      <alignment shrinkToFit="0" wrapText="1"/>
    </xf>
    <xf borderId="0" fillId="0" fontId="7" numFmtId="0" xfId="0" applyAlignment="1" applyFont="1">
      <alignment readingOrder="0" shrinkToFit="0" wrapText="1"/>
    </xf>
    <xf borderId="1" fillId="2" fontId="1" numFmtId="0" xfId="0" applyAlignment="1" applyBorder="1" applyFont="1">
      <alignment readingOrder="0"/>
    </xf>
    <xf borderId="0" fillId="3" fontId="7" numFmtId="0" xfId="0" applyFont="1"/>
    <xf borderId="0" fillId="3" fontId="11" numFmtId="0" xfId="0" applyAlignment="1" applyFont="1">
      <alignment readingOrder="0"/>
    </xf>
    <xf borderId="0" fillId="3" fontId="7" numFmtId="0" xfId="0" applyAlignment="1" applyFont="1">
      <alignment readingOrder="0"/>
    </xf>
    <xf borderId="0" fillId="3" fontId="13" numFmtId="0" xfId="0" applyAlignment="1" applyFont="1">
      <alignment horizontal="right" readingOrder="0"/>
    </xf>
  </cellXfs>
  <cellStyles count="1">
    <cellStyle xfId="0" name="Normal" builtinId="0"/>
  </cellStyles>
  <dxfs count="8">
    <dxf>
      <font/>
      <fill>
        <patternFill patternType="none"/>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4DD0E1"/>
          <bgColor rgb="FF4DD0E1"/>
        </patternFill>
      </fill>
      <border/>
    </dxf>
    <dxf>
      <font/>
      <fill>
        <patternFill patternType="solid">
          <fgColor rgb="FFE0F7FA"/>
          <bgColor rgb="FFE0F7FA"/>
        </patternFill>
      </fill>
      <border/>
    </dxf>
  </dxfs>
  <tableStyles count="3">
    <tableStyle count="3" pivot="0" name="Casos Mal (3.0)-style">
      <tableStyleElement dxfId="3" type="headerRow"/>
      <tableStyleElement dxfId="4" type="firstRowStripe"/>
      <tableStyleElement dxfId="5" type="secondRowStripe"/>
    </tableStyle>
    <tableStyle count="3" pivot="0" name="Otras mejoras deseables-style">
      <tableStyleElement dxfId="6" type="headerRow"/>
      <tableStyleElement dxfId="5" type="firstRowStripe"/>
      <tableStyleElement dxfId="7" type="secondRowStripe"/>
    </tableStyle>
    <tableStyle count="3" pivot="0" name="Otras mejoras deseables-style 2">
      <tableStyleElement dxfId="6" type="headerRow"/>
      <tableStyleElement dxfId="5"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001" sheet="Resultados Live"/>
  </cacheSource>
  <cacheFields>
    <cacheField name="Teléfono cliente" numFmtId="0">
      <sharedItems containsString="0" containsBlank="1" containsNumber="1" containsInteger="1">
        <n v="3.467350605E10"/>
        <n v="3.4611579954E10"/>
        <n v="3.3619518584E10"/>
        <n v="3.466226624E10"/>
        <n v="3.4695600242E10"/>
        <n v="3.4674739192E10"/>
        <n v="3.93488844329E11"/>
        <n v="3.4672049775E10"/>
        <n v="3.4679007769E10"/>
        <n v="3.4699470701E10"/>
        <n v="9.05416393494E11"/>
        <n v="3.4646855091E10"/>
        <n v="3.4667360241E10"/>
        <n v="3.4614439256E10"/>
        <n v="3.4607961232E10"/>
        <n v="5.73003897007E11"/>
        <n v="5.73148615672E11"/>
        <n v="3.4652739299E10"/>
        <n v="3.4609152656E10"/>
        <n v="3.4662917448E10"/>
        <n v="3.4659845211E10"/>
        <n v="3.460507423E10"/>
        <n v="3.4616397458E10"/>
        <n v="3.4636171756E10"/>
        <n v="3.4619070138E10"/>
        <n v="3.4628758372E10"/>
        <n v="3.4697982334E10"/>
        <n v="3.4637654019E10"/>
        <m/>
      </sharedItems>
    </cacheField>
    <cacheField name="Día / Hora" numFmtId="0">
      <sharedItems containsBlank="1">
        <s v="18-09-2025 13:28"/>
        <s v="18-09-2025 17:43"/>
        <s v="18-09-2025 19:02"/>
        <s v="18-09-2025 20:38"/>
        <s v="19-09-2025 09:27"/>
        <s v="19-09-2025 13:55"/>
        <s v="19-09-2025 16:40"/>
        <s v="20-09-2025 11:13"/>
        <s v="20-09-2025 13:36"/>
        <s v="20-09-2025 19:34"/>
        <s v="21-09-2025 12:42"/>
        <s v="22-09-2025 10:56"/>
        <s v="22-09-2025 13:20"/>
        <s v="22-09-2025 15:39"/>
        <s v="22-09-2025 22:45"/>
        <s v="23-09-2025 21:45"/>
        <s v="24-09-2025 09:26"/>
        <s v="24-09-2025 10:22"/>
        <s v="24-09-2025 10:59"/>
        <s v="24-09-2025 11:51"/>
        <s v="24-09-2025 13:07"/>
        <s v="28-09-2025 11:35"/>
        <s v="28-09-2025 18:25"/>
        <s v="27-09-2025 19:18"/>
        <s v="27-09-2025 18:45"/>
        <s v="27-09-2025 17:19"/>
        <s v="27-09-2025 11:00"/>
        <s v="27-09-2025 12:00"/>
        <s v="26-09-2025 22:21"/>
        <s v="25-09-2025 22:14"/>
        <s v="25-09-2025 10:56"/>
        <m/>
      </sharedItems>
    </cacheField>
    <cacheField name="Tipo de acción" numFmtId="0">
      <sharedItems containsBlank="1">
        <s v="Incidencia"/>
        <s v="Consulta"/>
        <m/>
      </sharedItems>
    </cacheField>
    <cacheField name="Respuesta" numFmtId="0">
      <sharedItems containsBlank="1">
        <s v="Hola&#10;Tengo un problema, me puede. Ayudar&#10;Por favor, indícame con más detalle en qué puedo ayudarte para derivarte al área correcta.&#10;Se me pinchó una rueda&#10;&quot;Parece que necesita asistencia en carretera. Para ello, llame al servicio en carretera 24/7 de RACE"/>
        <s v="Hola&#10;Alguien me atiende porfi&#10;Esto no me va&#10;Y tengo mis cosas en el coche&#10;&quot;¡Hola! Soy Corporín, tu asistente virtual de AVIS Corporate en Canarias. Veo que tienes problemas para acceder a tu coche y necesitas tus pertenencias.&#10;&#10;Para poder ayudarte mejor, "/>
        <s v="Hola, cogí el coche ayer, 17/09/2025, a las 20:00, hasta hoy, 18/09/2025, a las 11:00. Olvidé mis AirPods en el coche. Gracias por tus comentarios.&#10;&quot;¡Hola! Soy Corporín, tu asistente virtual de AVIS Corporate en Canarias. Gracias por contactarnos.&#10;&#10;He vis"/>
        <s v="Que debo hacer&#10;Por favor, indícame con más detalle en qué puedo ayudarte para derivarte al área correcta.&#10;Cuando enciendo el coche me dice servicio de aceite necesario&#10;&quot;¡Hola! El mensaje &quot;&quot;servicio de aceite necesario&quot;&quot; indica que tu coche necesita una re"/>
        <s v="Hola&#10;¡Hola! Soy Corporín, tu asistente virtual de AVIS Corporate en Canarias. ¿En qué puedo ayudarte hoy?&#10;Quiero alquilar un coche en Gran Canaria para el mes que viene, cuáles son los requisitos?&#10;&quot;Para alquilar un coche en Gran Canaria con AVIS Corporate"/>
        <s v="Hola&#10;¡Hola! Soy Corporín, tu asistente virtual de AVIS Corporate en Canarias. ¿En qué puedo ayudarte hoy?&#10;Necesito alquilar un coche en fuerteventura hoy pero me han pedido actualizar mi documentación en la app, que ya he hecho pero esta pendiente de revi"/>
        <s v="Quanto tempo prima si può annullare una prenotazione?&#10;Puedes cancelar una reserva sin coste siempre y cuando se realice antes de la fecha de inicio del contrato. ¿Necesitas que te ayude con algo más?&#10;Traducir en italiano&#10;Puoi cancellare una prenotazione s"/>
        <s v="Buenos días&#10;¡Hola! Soy Corporín, tu asistente virtual de AVIS Corporate en Canarias. ¿En qué puedo ayudarte hoy?&#10;Acabo de reservar un coche y cuando lo fuy a coger me pone que alguien ha sido más rápido que yo y ahora no me deja cancelar&#10;&quot;Parece que el ve"/>
        <s v="Hola buenas &#10;Estoy intentando abrir el coche y no me deja &#10;&quot;¡Hola! Soy Corporín, tu asistente virtual de AVIS Corporate en Canarias.&#10;&#10;Veo que tienes problemas para abrir el coche. Para poder ayudarte mejor, ¿podrías decirme cuál de estas situaciones descr"/>
        <s v="Hola. Tengo una urgencia &#10;0667 MNJ &#10;Por favor, indícame con más detalle en qué puedo ayudarte para derivarte al área correcta. &#10;&quot;¡Hola! Soy Corporín, tu asistente virtual de AVIS Corporate en Canarias. Actualmente estamos fuera de nuestro horario laboral "/>
        <s v="Hello&#10;¡Hola! Soy Corporín, tu asistente virtual de AVIS Corporate en Canarias. ¿En qué puedo ayudarte hoy?&#10;Borra los documentos que subí. Eres un estafador, te denunciaré. No tengo permiso para borrarlos de tu aplicación.&#10;Tu solicitud ha sido enviada. Un "/>
        <s v="Buenos días &#10;¡Hola! Soy Corporín, tu asistente virtual de AVIS Corporate en Canarias. ¿En qué puedo ayudarte hoy? &#10;Hay alguna solución con mi incidencia porque estoy llamando por teléfono y la chica me dice que no puede hacer nada y me habéis cobrado 9,90"/>
        <s v="Buenos días&#10;¡Hola! Soy Corporín, tu asistente virtual de AVIS Corporate en Canarias. ¿En qué puedo ayudarte hoy?&#10;Realice una reserva de un coche el jueves pasado ,la cancele al día siguiente,y aún no me han hecho la devolución&#10;Gracias por la información. "/>
        <s v="He cancelado la reserva por error&#10;&quot;¡Hola! Soy Corporín, tu asistente virtual de AVIS Corporate en Canarias.&#10;&#10;Veo que has cancelado tu reserva por error. Para poder ayudarte a recuperar tu reserva o gestionar una posible compensación, por favor, facilítame"/>
        <s v="Estoy esperando en el aeropuerto&#10;De Tenerife norte&#10;Por el transfer para que nos recoja&#10;&quot;¡Hola! Soy Corporín, tu asistente virtual de AVIS Corporate en Canarias.&#10;&#10;Actualmente estamos fuera de nuestro horario laboral (lunes a viernes, de 08:00 a 20:00 en Ca"/>
        <s v="Hola acabo de alquilar un coche y no se abre la barrera del parking&#10;&quot;¡Hola! Entiendo que acabas de alquilar un coche y no se abre la barrera del parking. Para poder ayudarte y gestionar tu incidencia correctamente, ¿podrías facilitarme tu DNI, por favor? "/>
        <s v="Hola, ya revisaron mis documentos? Paul Mihai Florescu Y7330488B &#10;La validación de tu documentación suele completarse en menos de 24 horas tras subirla a la App. Recibirás un email o notificación cuando tu cuenta esté activa. ¿Necesitas que te ayude con a"/>
        <s v="Hola tengo una reserva y quería confirmar el lugar de recogida&#10;&quot;Puedes recoger tu vehículo en varios puntos de AVIS Corporate en Canarias, dependiendo del lugar de tu reserva:&#10;&#10;- Aeropuerto La Palma: Planta -2, plazas con letra G y H. Dirección: Ctra. La "/>
        <s v="No puedo sacar el coche del parking&#10;Necesito ayuda urgente&#10;&quot;¡Hola! Soy Corporín, tu asistente virtual de AVIS Corporate en Canarias.&#10;&#10;Veo que no puedes sacar el coche del parking y necesitas ayuda urgente. Para poder ayudarte lo más rápido posible, ¿podrí"/>
        <s v="Buenas &#10;¡Hola! Soy Corporín, tu asistente virtual de AVIS Corporate en Canarias. ¿En qué puedo ayudarte hoy? &#10;Buenos días necesito alquilar un coche en Madrid &#10;Del 1 al 5 de oct &#10;Lo siento, solo estoy habilitado para ayudarte con consultas o incidencias r"/>
        <s v="Hola, buenos días &#10;¡Hola! Soy Corporín, tu asistente virtual de AVIS Corporate en Canarias. ¿En qué puedo ayudarte hoy? &#10;Llevo desde ayer intentando hacer una reserva y no me deja &#10;&quot;Entiendo que llevas desde ayer intentando hacer una reserva y no te deja."/>
        <s v="Una pregunta&#10;Y el coche no cierra&#10;&quot;¡Hola! Soy Corporín, tu asistente virtual de AVIS Corporate en Canarias.&#10;&#10;He visto que comentas que el coche no cierra. Para poder ayudarte mejor, ¿puedes confirmarme si el problema es que el botón de abrir/cerrar en la "/>
        <s v="Hola&#10;No sé si el coche tiene gasolina o diésel&#10;Los vehículos disponibles en AVIS Corporate Canarias pueden variar en modelo y características, y se asigna uno de la categoría reservada en el punto de entrega. No se especifica en la información si el coche"/>
        <s v="Buenas tardes&#10;No abre el parking de gran canaria no reconoce la matrícula&#10;¡Hola! Soy Corporín, tu asistente virtual de AVIS Corporate en Canarias. ¿En qué puedo ayudarte hoy?&#10;&quot;He revisado el historial y la configuración de incidencias. El problema que des"/>
        <s v="No me deja iniciar el vije&#10;No me deja iniciar el viaje&#10;&quot;¡Hola! Soy Corporín, tu asistente virtual de AVIS Corporate en Canarias.&#10;&#10;Veo que tienes problemas para iniciar tu viaje. Para poder ayudarte mejor, ¿podrías decirme cuál de estas situaciones describ"/>
        <s v="Hola&#10;¡Hola! Soy Corporín, tu asistente virtual de AVIS Corporate en Canarias. ¿En qué puedo ayudarte hoy?&#10;No está nuestro coche&#10;&quot;Entiendo que no encuentras el coche en el lugar acordado. Por favor, revisa en el mapa de tu aplicación la ubicación exacta de"/>
        <s v="Hola &#10;Necesito que validen mi documentación en la app de avis corporate para poder hacer una reserva &#10;¡Hola! Soy Corporín, tu asistente virtual de AVIS Corporate en Canarias. ¿En qué puedo ayudarte hoy? &#10;Necesito que validen mi documentación en la app de "/>
        <s v="Hola. No puedo abrir el coche. Me sale q no tengo viajes y tengo el coche alquilado hasta mañana. Ha sucedido al intentar abrir el coche varias veces&#10;&quot;He revisado tu mensaje y veo que tienes problemas para abrir el coche y la app te indica que no tienes v"/>
        <s v="Hola! Se puede dejar el coche en un punto diferente al que se recoge?&#10;No, el vehículo debe recogerse y entregarse en el mismo punto o plaza asignada. ¿Necesitas que te ayude con algo más?&#10;No. Gracias&#10;Gracias a ti. Que tengas un buen día."/>
        <s v="No encuentro mi vehículo&#10;&quot;¡Hola! Soy Corporín, tu asistente virtual de AVIS Corporate en Canarias.&#10;&#10;Por favor, revisa en el mapa de tu aplicación la ubicación exacta del vehículo. A veces puede estar en una plaza cercana o en una zona diferente a la esper"/>
        <s v="Buenos días, acabo de recibir una reserva de coche para esta mañana que no realicé y me cobraron 30 €. ¿Podrían explicarme qué está pasando?&#10;&quot;¡Hola! Soy Corporín, tu asistente virtual de AVIS Corporate en Canarias. ¿En qué puedo ayudarte hoy?&#10;&#10;Sobre tu co"/>
        <m/>
      </sharedItems>
    </cacheField>
    <cacheField name="Tasa de Automatización" numFmtId="0">
      <sharedItems containsBlank="1">
        <s v="NOK"/>
        <s v="OK"/>
        <m/>
      </sharedItems>
    </cacheField>
    <cacheField name="First Contact Resolution Rate - FCR" numFmtId="0">
      <sharedItems containsBlank="1">
        <s v="NOK"/>
        <s v="OK"/>
        <m/>
      </sharedItems>
    </cacheField>
    <cacheField name="Valoración respuesta (Precisión)" numFmtId="0">
      <sharedItems containsBlank="1">
        <s v="Mejorable"/>
        <s v="Bien"/>
        <s v="Mal"/>
        <m/>
      </sharedItems>
    </cacheField>
    <cacheField name="Resultado deseado" numFmtId="0">
      <sharedItems containsBlank="1">
        <s v="No se solicitó DNI y no podemos hacer seguimiento"/>
        <s v="No se indicó horario atención al cliente. No se detectó la incidencia de pertenencias dentro del vehículo."/>
        <m/>
        <s v="No sabemos que coche ni cliente és"/>
        <s v="Parece una prueba interna"/>
        <s v="Esta parte está mal: Lo primero que te recomiendo es cancelar la reserva actual y generar una nueva, ya que a veces el sistema necesita refrescar la información para validar la documentación.&#10;No es necesario cancelar la reserva, solo esperar a que le vali"/>
        <s v="Todo OK, primera respuesta en el mismo idioma que pregunta sería ideal"/>
        <s v="Este error es puntual y no estaba programado. Por tanto, damos la respuesta por OK"/>
        <s v="Está bien el proceso, si bien queremos añadir acceso a los teléfonos de oficinas de aeropuerto para estos cambios"/>
        <s v="Debería haber pedido el DNI."/>
        <s v="Debería explicar que el periodo de reintegro puede durar hasta 10 días según el banco."/>
        <s v="Si la reserva está cancelada por error, debería pasar con el call center directamente"/>
        <s v="Debería aportar información del Shuttle (Transfer)"/>
        <s v="Debemos añadir problemática de barrera parking"/>
        <s v="No es capaz de detectar el problema que tiene el cliente"/>
        <s v="Sin cobertura, con bluetooth, debe funcionar"/>
        <s v="Son todos gasolina actualmente"/>
        <s v="Segunda parte OK, la primera NOK"/>
        <s v="Le está dictando su propio procedimiento"/>
        <s v="Ha dicho viaje finalizado. "/>
        <s v="Le cuenta el procedimient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001" sheet="Resultados Live 2.0"/>
  </cacheSource>
  <cacheFields>
    <cacheField name="Teléfono cliente" numFmtId="0">
      <sharedItems containsString="0" containsBlank="1" containsNumber="1" containsInteger="1">
        <n v="3.461816641E10"/>
        <n v="3.4659579815E10"/>
        <n v="3.93925759088E11"/>
        <n v="3.4615015885E10"/>
        <n v="5.73105376491E11"/>
        <n v="3.4698255517E10"/>
        <n v="3.4633539508E10"/>
        <n v="3.463757405E10"/>
        <n v="3.4663370363E10"/>
        <n v="3.4669663814E10"/>
        <n v="3.4696188406E10"/>
        <n v="3.4652524834E10"/>
        <n v="5.7300237902E11"/>
        <n v="3.4640065374E10"/>
        <n v="3.4626696661E10"/>
        <n v="3.4607789219E10"/>
        <n v="3.4670321659E10"/>
        <n v="3.4653381287E10"/>
        <n v="3.93408666649E11"/>
        <n v="3.4638793387E10"/>
        <n v="3.4601537395E10"/>
        <n v="3.4618860943E10"/>
        <n v="3.464435328E10"/>
        <n v="9.05495623232E11"/>
        <n v="3.4676043645E10"/>
        <n v="3.4623042988E10"/>
        <n v="3.462794293E10"/>
        <n v="3.4662431925E10"/>
        <n v="5.73158356633E11"/>
        <n v="3.4620688105E10"/>
        <n v="3.4626982421E10"/>
        <n v="3.4659459574E10"/>
        <m/>
      </sharedItems>
    </cacheField>
    <cacheField name="Día / Hora" numFmtId="0">
      <sharedItems containsBlank="1">
        <s v="15-10-2025 09:53"/>
        <s v="16-10-2025 09:06"/>
        <s v="16-10-2025 11:25"/>
        <s v="16-10-2025 16:38"/>
        <s v="17-10-2025 10:48"/>
        <s v="17-10-2025 16:33"/>
        <s v="17-10-2025 19:24"/>
        <s v="18-10-2025 02:35"/>
        <s v="18-10-2025 11:59"/>
        <s v="18-10-2025 17:49"/>
        <s v="18-10-2025 20:27"/>
        <s v="19-10-2025 08:35"/>
        <s v="19-10-2025 19:17"/>
        <s v="19-10-2025 22:31"/>
        <s v="19-10-2025 23:40"/>
        <s v="20-10-2025 15:58"/>
        <s v="22-10-2025 01:14"/>
        <s v="22-10-2025 11:30"/>
        <s v="22-10-2025 12:41"/>
        <s v="22-10-2025 12:49"/>
        <s v="22-10-2025 20:57"/>
        <s v="22-10-2025 22:44"/>
        <s v="23-10-2025 06:44"/>
        <s v="23-10-2025 17:22"/>
        <s v="25-10-2025 09:56"/>
        <s v="25-10-2025 10:53"/>
        <s v="25-10-2025 11:17"/>
        <s v="26-10-2025 08:57"/>
        <s v="26-10-2025 10:23"/>
        <s v="26-10-2025 18:44"/>
        <s v="27-10-2025 08:26"/>
        <s v="27-10-2025 09:36"/>
        <s v="28-10-2025 07:04"/>
        <m/>
      </sharedItems>
    </cacheField>
    <cacheField name="Tipo de acción" numFmtId="0">
      <sharedItems containsBlank="1">
        <s v="Incidencia"/>
        <s v="Consulta"/>
        <m/>
      </sharedItems>
    </cacheField>
    <cacheField name="Respuesta" numFmtId="0">
      <sharedItems containsBlank="1">
        <s v="hola, buenos dias, se me ha pinchado la rueda necesito ayuda&#10;&quot;¡Hola! Soy Corporín, tu asistente virtual de AVIS Corporate en Canarias.&#10;&#10;Por favor, facilítenos la matrícula de su vehículo para poder gestionar su incidencia correctamente.&quot;"/>
        <s v="Cuando intento abrir la llave me pide permiso de ubicación la acepto y me sigue dando error&#10;&quot;¡Hola! Soy Corporín, tu asistente virtual de AVIS Corporate en Canarias. Para poder ayudarte mejor, ¿puedes indicarme cuál de estas situaciones describe mejor tu "/>
        <s v="Buenos dias, es posible verificar los documentos rapidamente asi que podemos alquiler un coche ahora mismo&#10;La validación de tu documentación suele completarse en menos de 24 horas tras subirla a la app de AVIS Corporate Canarias. No está disponible un pro"/>
        <s v="Hola...&#10;Una duda...&#10;Por favor, indícame con más detalle en qué puedo ayudarte para derivarte al área correcta.&#10;Puedo recoger mi reserva en el aeropuerto de Tenerife Norte y entregarlo en Tenerife sur&#10;&quot;Sí, puedes recoger tu reserva en el aeropuerto de Tene"/>
        <s v="Porque no me hace finalizar la reserva de ayer&#10;Parece que el vehículo asignado a su reserva no se encuentra disponible en este momento. Por favor, cancele la reserva actual y genere una nueva para asignarle un nuevo vehículo. Si lo considera oportuno, pue"/>
        <s v="Hola &#10;¡Hola! Soy Corporín, tu asistente virtual de AVIS Corporate en Canarias. ¿En qué puedo ayudarte hoy? &#10;Gracias &#10;Gracias por tu mensaje. Si necesitas cualquier otra cosa, aquí estaré para ayudarte. &#10;No se por que me aparece canarias &#10;Estoy intentando "/>
        <s v="Hola &#10;¡Hola! Soy Corporín, tu asistente virtual de AVIS Corporate en Canarias. ¿En qué puedo ayudarte hoy? &#10;Mira soy nuevo cliënte y hace 2 dias q estoy subiendo los papales pero no me lo acceptan siempre me lo piden otra ves &#10;Y necesito coche para manana"/>
        <s v="Buenas &#10;¡Hola! Soy Corporín, tu asistente virtual de AVIS Corporate en Canarias. ¿En qué puedo ayudarte hoy? &#10;Parece que me an desactivado mi cuenta &#10;Se ha enviado una incidencia a nuestro Call Center. Le llamarán cuando estemos en horario laboral (08:00 "/>
        <s v="Hola, tengo una reserva en Tenerife Norte pero el avión se desvió Tenerife Sur necesito cancelar la reserva es para hacer otra&#10;Parece que el vehículo asignado a su reserva no se encuentra disponible en este momento. Por favor, cancele la reserva actual y "/>
        <s v="Hola&#10;No me valida el DNI ni el carnet de conducir&#10;Lo he intentado 5 veces&#10;Para poder ayudarte, por favor envía una foto de tu DNI y carnet de conducir a corporate@aviscanarias.es. Una vez que lo recibamos, podremos validar tus documentos y solucionar la i"/>
        <s v="Buenas noches. Soy usuaria de Avis Corporate, estoy intentando hacer una reserva para mañana de forma urgente y no tengo la documentación actualizada. Necesito esa reserva urgentemente. Que puedo hacer?&#10;&quot;¡Hola! Soy Corporín, tu asistente virtual de AVIS C"/>
        <s v="Hola! Cuánto se tarda la validación de mi documentación?&#10;La validación de tu documentación suele completarse en menos de 24 h tras subirla a la App. Recibirás una notificación o email cuando tu cuenta esté activa. ¿Necesitas que te ayude con algo más?"/>
        <s v="Tengo que pasar por alguna oficina antes de recoger el coche&#10;No; no necesitas pasar por una oficina antes de recoger el coche. Con la llave digital de la App puedes acceder al coche 24/7, aunque no haya personal en la oficina. Sin embargo, verifica el hor"/>
        <s v="¡Hola! Soy Corporín, tu asistente virtual de AVIS Corporate en Canarias. ¿A qué se refiere con cambiar la reserva? ¿Quiere ampliarla o quiere adelantar la recogida del vehículo?&#10;&quot;Nº de reserva: 889002306700&#10;Nº de alquiler: 28441549CO3&quot;&#10;Uno para 7 puesto&#10;P"/>
        <s v="Hola&#10;Me puedes ayudar a encontrar mi coche en el parking&#10;¡Hola! Soy Corporín, tu asistente virtual de AVIS Corporate en Canarias. ¿En qué puedo ayudarte hoy?&#10;Me ayudas a encontrar mi coche&#10;Por favor, inicie la reserva y revise en el mapa de su aplicación,"/>
        <s v="&quot;Hola,&#10;Tengo problemas para subir mi DNI y carnet de conducir. &#10;He hablado la semana pasada con un asistente y me ha dicho que ya estaba arreglado el problema, pero continúo sin poder reservar coche….&#10;Puede ayudarme?&quot;&#10;¡Hola! Soy Corporín, tu asistente vir"/>
        <s v="Hola, tengo la siguiente pregunta&#10;Por favor, indícame con más detalle en qué puedo ayudarte para derivarte al área correcta.&#10;Puedo alquilar un coche automático?&#10;No estoy capacitado para responder esa pregunta específica ya que no aparece en la información"/>
        <s v="Hola&#10;¡Hola! Soy Corporín, tu asistente virtual de AVIS Corporate en Canarias. ¿En qué puedo ayudarte hoy?&#10;Tenía una reserva y me la cancelaron antes de poder usarla&#10;Tenía una reserva y me la cancelaron antes de poder usarla&#10;Lamentamos lo ocurrido con su r"/>
        <s v="Cómo abrir coche&#10;Para abrir el coche, usa la llave digital en la App de AVIS Corporate Canarias. Si no funciona, comprueba que tienes conexión de datos y Bluetooth/GPS activado en tu móvil. Si sigue sin abrirse, llama al Centro de Atención 24 h y te guiar"/>
        <s v="hemos ingresado los documentos correctos&#10;pueden aceptarlos?&#10;Hemos recibido correctamente sus documentos. Si necesita cualquier otra gestión, puede contactarnos en el 928 092 337.&#10;Hola. Si habéis subido el DNI/pasaporte y el carnet de conducir en la App, l"/>
        <s v="Hola&#10;Disculpe&#10;He cerrado sin querer el contrato del coche&#10;Por favor, indíqueme con más detalle en qué puedo ayudarle para derivarle al área correcta.&#10;&quot;En el caso de que haya cerrado el contrato del coche por error, necesitamos generarle una nueva reserva "/>
        <s v="Buenas&#10;¡Hola! Soy Corporín, tu asistente virtual de AVIS Corporate en Canarias. ¿En qué puedo ayudarte hoy?&#10;No he podido modificar el coche hasta mañana&#10;Me sale que está reservado&#10;Pero yo vivo lejos del aeropuerto&#10;&quot;¿Podrías aclararme si te refieres a que "/>
        <s v="En qué zona retiro el coche que tengo alquilado? &#10;Vuelo en el primer avión de Gran Canaria a Lanzarote &#10;Hola. La zona de recogida depende del punto de entrega. ¿En qué aeropuerto o ubicación tienes la reserva para indicarte la plaza/office exacta? ¿Necesi"/>
        <s v="Hola buenas tardes&#10;¡Hola! Soy Corporín, tu asistente virtual de AVIS Corporate en Canarias. ¿En qué puedo ayudarte hoy?&#10;Quería preguntar si se puede dejar en un lugar distinto a la recogida?&#10;No. Todos los vehículos deben entregarse al finalizar su alquile"/>
        <s v="Hello, ı need to rent a car&#10;But ı do not know where to rent&#10;Hola, disponemos de una flota variada: turismos compactos, berlinas, SUV y monovolúmenes (p. ej. Škoda Kamiq, Hyundai i20, Volkswagen T‑Cross o Volkswagen Taigo). Los modelos pueden variar según "/>
        <s v="Buenos días, si reservo la recogida de un coche en un parking, después puedo dejarlo en un parking distinto?&#10;Por ejemplo, puedo cogerlo en el aparcamiento del puerto y después dejarlo en el aparcamiento del aeropuerto?&#10;No. Todos los vehículos deben entreg"/>
        <s v="Hola&#10;¡Hola! Soy Corporín, tu asistente virtual de AVIS Corporate en Canarias. ¿En qué puedo ayudarte hoy?&#10;Alquiler por horas&#10;&quot;La tarifa se calcula por tiempo de uso. En la tarifa corporativa están incluidos el alquiler base por tiempo de uso, seguro a ter"/>
        <s v="Hola, me enviaron la factura a mi nombre en vez de al de la empresa&#10;&quot;Para solicitar que la factura esté a nombre de tu empresa, por favor indícanos el nombre fiscal correcto y el CIF/NIF de la empresa. Gestionaremos la modificación y te enviaremos la fact"/>
        <s v="Hola &#10;¡Hola! Soy Corporín, tu asistente virtual de AVIS Corporate en Canarias. ¿En qué puedo ayudarte hoy? &#10;Tengo un paroblema, me cobraron 26€ y mi factura es de 20,16 &#10;&quot;En breve nuestro equipo revisará el cargo. Por favor, envíe una copia de su factura "/>
        <s v="Hi&#10;Español ?&#10;¡Hola! Soy Corporín, tu asistente virtual de AVIS Corporate en Canarias. Claro, podemos continuar en español. ¿En qué puedo ayudarte hoy?&#10;Hola es que acabé de registrarme en aplicación de avis y dice validación pendiente&#10;Y debo alquilar un co"/>
        <s v="Porque me han cobrado de más en mi factura?&#10;Para revisar el cobro en su factura, necesitaremos su DNI para localizar correctamente su reserva y revisar el detalle. Por favor, facilite su número de DNI.&#10;43381129r&#10;Gracias por facilitar su DNI. Estamos revis"/>
        <s v="Buenas, tengo problemas con la app, para abrir y cerrar el coche. Volví a instalar la aplicación y cambie las contraseñas y sigue igual, esta facturada y cobrada &#10;&quot;Para resolver tu incidencia, por favor indícame si lo que sucede es alguna de estas opcione"/>
        <s v="&quot;Hola, buenos días …&#10;Tengo una recogida de un coche ahora a las 8:00…&#10;Por lo que tengo entendido no lo entregan en persona…&quot;&#10;&quot;Buenos días.  &#10;No te preocupes: la entrega suele ser sin personal y puedes acceder al coche con la llave digital de la App 24/7. "/>
        <m/>
      </sharedItems>
    </cacheField>
    <cacheField name="Tasa de Automatización" numFmtId="0">
      <sharedItems containsBlank="1">
        <s v="NOK"/>
        <s v="OK"/>
        <m/>
      </sharedItems>
    </cacheField>
    <cacheField name="First Contact Resolution Rate - FCR" numFmtId="0">
      <sharedItems containsBlank="1">
        <s v="NOK"/>
        <s v="OK"/>
        <m/>
      </sharedItems>
    </cacheField>
    <cacheField name="Valoración respuesta (Precisión)" numFmtId="0">
      <sharedItems containsBlank="1">
        <s v="Bien"/>
        <s v="Mejorable"/>
        <s v="Mal"/>
        <m/>
      </sharedItems>
    </cacheField>
    <cacheField name="Resultado deseado" numFmtId="0">
      <sharedItems containsBlank="1">
        <m/>
        <s v="Estaba en día laboral y horario laboral, debería dar el teléfono de contacto"/>
        <s v="Mal, ya arreglado"/>
        <s v="Revisar posibilidad de mejorarar proceso con reservas ya iniciadas"/>
        <s v="Revisar respuesta del pago. Ok pero mejorable."/>
        <s v="No sigue la conversación con el cliente."/>
        <s v="Respuesta a destiempo. Añadir al FAQ sobre automáticos."/>
        <s v="Faltó URL del Shuttle"/>
        <s v="Sigue sin responder en el idioma correcto"/>
        <s v="Respuestas a destiempo"/>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001" sheet="Resultados Live 3.0"/>
  </cacheSource>
  <cacheFields>
    <cacheField name="Teléfono cliente" numFmtId="0">
      <sharedItems containsString="0" containsBlank="1" containsNumber="1" containsInteger="1">
        <n v="3.4621415547E10"/>
        <n v="3.4627462016E10"/>
        <n v="3.4618976932E10"/>
        <n v="3.4689084997E10"/>
        <n v="3.4605630267E10"/>
        <n v="3.06972976878E11"/>
        <n v="3.4646731803E10"/>
        <n v="3.4638793387E10"/>
        <n v="3.4677785238E10"/>
        <n v="3.4654337788E10"/>
        <n v="3.4626462723E10"/>
        <n v="1.2029858903E10"/>
        <n v="3.4662215218E10"/>
        <n v="3.469025932E10"/>
        <n v="3.4679085859E10"/>
        <n v="1.2082601323E10"/>
        <n v="3.4626696661E10"/>
        <n v="3.4617179066E10"/>
        <n v="3.4609539267E10"/>
        <n v="3.4615088959E10"/>
        <n v="3.4649408024E10"/>
        <n v="3.4674732292E10"/>
        <n v="3.4636715046E10"/>
        <n v="3.4630389505E10"/>
        <n v="3.4627856526E10"/>
        <n v="3.4661294776E10"/>
        <n v="5.511973081991E12"/>
        <n v="3.4676440184E10"/>
        <n v="3.4655300788E10"/>
        <n v="3.461745077E10"/>
        <n v="3.4606735286E10"/>
        <n v="3.4695408574E10"/>
        <n v="3.4662413563E10"/>
        <n v="3.4627149889E10"/>
        <n v="3.4617321771E10"/>
        <n v="3.4626925945E10"/>
        <n v="3.93299770514E11"/>
        <n v="3.4620424158E10"/>
        <n v="3.460089339E10"/>
        <n v="3.4606464678E10"/>
        <n v="3.4697808048E10"/>
        <n v="3.4684381057E10"/>
        <n v="3.460923004E10"/>
        <n v="3.4600399895E10"/>
        <n v="3.468242938E10"/>
        <n v="3.4615373877E10"/>
        <n v="3.93457164715E11"/>
        <n v="3.4658390164E10"/>
        <n v="3.4628899986E10"/>
        <n v="3.467751515E10"/>
        <n v="4.91757157375E11"/>
        <n v="3.937031041E11"/>
        <n v="3.93922081865E11"/>
        <n v="3.4616397458E10"/>
        <n v="3.93761684644E11"/>
        <n v="3.4610399932E10"/>
        <n v="3.4691253437E10"/>
        <n v="3.4625409563E10"/>
        <n v="3.4623581698E10"/>
        <n v="3.4606142867E10"/>
        <n v="3.4648259923E10"/>
        <n v="3.4644236213E10"/>
        <n v="3.460892848E10"/>
        <n v="3.46468788E10"/>
        <n v="3.4625674433E10"/>
        <n v="3.4679727036E10"/>
        <n v="4.91622827523E11"/>
        <n v="3.80506153317E11"/>
        <n v="3.4689448263E10"/>
        <n v="3.4690047278E10"/>
        <n v="3.4660104759E10"/>
        <n v="3.4667784449E10"/>
        <n v="3.4687375463E10"/>
        <m/>
      </sharedItems>
    </cacheField>
    <cacheField name="Día / Hora">
      <sharedItems containsDate="1" containsBlank="1" containsMixedTypes="1">
        <s v="28-10-2025 22:27"/>
        <s v="29-10-2025 07:21"/>
        <s v="29-10-2025 09:42"/>
        <s v="29-10-2025 10:33"/>
        <s v="29-10-2025 10:53"/>
        <s v="29-10-2025 11:21"/>
        <s v="29-10-2025 11:31"/>
        <s v="29-10-2025 12:10"/>
        <s v="29-10-2025 17:59"/>
        <s v="29-10-2025 18:32"/>
        <s v="29-10-2025 20:25"/>
        <s v="30-10-2025 14:06"/>
        <s v="30-10-2025 22:27"/>
        <s v="31-10-2025 00:14"/>
        <s v="31-10-2025 00:35"/>
        <s v="31-10-2025 22:54"/>
        <s v="31-10-2025 23:44"/>
        <d v="2025-01-11T01:29:00Z"/>
        <d v="2025-01-11T10:07:00Z"/>
        <d v="2025-01-11T14:46:00Z"/>
        <d v="2025-02-11T01:47:00Z"/>
        <d v="2025-02-11T11:00:00Z"/>
        <d v="2025-02-11T11:35:00Z"/>
        <d v="2025-02-11T12:30:00Z"/>
        <d v="2025-02-11T14:34:00Z"/>
        <d v="2025-02-11T16:30:00Z"/>
        <d v="2025-02-11T21:12:00Z"/>
        <d v="2025-02-11T22:12:00Z"/>
        <d v="2025-02-11T22:53:00Z"/>
        <d v="2025-03-11T08:48:00Z"/>
        <d v="2025-03-11T09:09:00Z"/>
        <d v="2025-03-11T11:37:00Z"/>
        <d v="2025-03-11T12:33:00Z"/>
        <d v="2025-04-11T08:39:00Z"/>
        <d v="2025-04-11T09:05:00Z"/>
        <d v="2025-05-11T14:32:00Z"/>
        <d v="2025-05-11T15:07:00Z"/>
        <d v="2025-05-11T17:27:00Z"/>
        <d v="2025-05-11T17:42:00Z"/>
        <d v="2025-06-11T07:14:00Z"/>
        <d v="2025-06-11T07:54:00Z"/>
        <d v="2025-06-11T09:19:00Z"/>
        <d v="2025-06-11T12:08:00Z"/>
        <d v="2025-06-11T19:49:00Z"/>
        <d v="2025-07-11T10:35:00Z"/>
        <d v="2025-07-11T15:14:00Z"/>
        <d v="2025-07-11T16:56:00Z"/>
        <d v="2025-08-11T09:02:00Z"/>
        <d v="2025-08-11T09:26:00Z"/>
        <d v="2025-08-11T10:24:00Z"/>
        <m/>
        <d v="2025-08-11T11:06:00Z"/>
        <d v="2025-08-11T11:45:00Z"/>
        <d v="2025-08-11T11:53:00Z"/>
        <d v="2025-08-11T11:55:00Z"/>
        <d v="2025-08-11T12:00:00Z"/>
        <d v="2025-08-11T12:31:00Z"/>
        <d v="2025-08-11T12:48:00Z"/>
        <d v="2025-08-11T13:01:00Z"/>
        <d v="2025-08-11T13:39:00Z"/>
        <d v="2025-08-11T14:14:00Z"/>
        <d v="2025-08-11T14:16:00Z"/>
        <d v="2025-08-11T15:53:00Z"/>
        <d v="2025-08-11T16:07:00Z"/>
        <d v="2025-08-11T16:11:00Z"/>
        <d v="2025-08-11T18:50:00Z"/>
        <d v="2025-08-11T19:50:00Z"/>
        <d v="2025-08-11T21:26:00Z"/>
        <d v="2025-08-11T22:15:00Z"/>
        <d v="2025-08-11T22:47:00Z"/>
        <d v="2025-08-11T23:18:00Z"/>
        <d v="2025-09-11T00:44:00Z"/>
        <d v="2025-09-11T07:10:00Z"/>
        <d v="2025-09-11T10:25:00Z"/>
        <d v="2025-09-11T11:39:00Z"/>
        <d v="2025-10-11T01:10:00Z"/>
        <d v="2025-10-11T08:51:00Z"/>
        <d v="2025-10-11T11:23:00Z"/>
        <d v="2025-10-11T15:09:00Z"/>
        <d v="2025-10-11T19:34:00Z"/>
        <d v="2025-11-11T08:38:00Z"/>
        <d v="2025-11-11T10:58:00Z"/>
        <d v="2025-11-11T11:18:00Z"/>
        <d v="2025-11-11T11:39:00Z"/>
        <d v="2025-11-11T17:35:00Z"/>
        <d v="2025-11-11T20:03:00Z"/>
        <d v="2025-12-11T08:24:00Z"/>
        <d v="2025-12-11T08:29:00Z"/>
        <d v="2025-12-11T16:30:00Z"/>
      </sharedItems>
    </cacheField>
    <cacheField name="Tipo de acción" numFmtId="0">
      <sharedItems containsBlank="1">
        <s v="Consulta"/>
        <s v="Incidencia"/>
        <m/>
      </sharedItems>
    </cacheField>
    <cacheField name="Respuesta" numFmtId="0">
      <sharedItems containsBlank="1">
        <s v="Hola&#10;Me gustaría saber Qué no está incluido si alquilo un coche en tenerife durante 4 dias&#10;Me gustaría saber Qué no está incluido si alquilo un coche en tenerife durante 4 dias&#10;&quot;Hola.  &#10;&#10;Lo que NO está incluido (según nuestra tarifa corporativa):&#10;- Extras"/>
        <s v="hola, mi nombre es Magnolia Fleitas , tengo una reserva y  es la primera vez y no se exactamente como recoger el coche en aeropuerto de Fuerteventurs&#10;&quot;Hola Magnolia. En el Aeropuerto de Fuerteventura encontrarás tu vehículo en el parking de &quot;&quot;rent a car&quot;&quot;"/>
        <s v="Hola! Cuando reservo un coche y me cobran el dinero, luego me lo devuelven? &#10;Hola. Si corresponde una devolución, el plazo depende de tu entidad bancaria: la mayoría la procesa de manera inmediata, aunque en algunos casos puede demorarse hasta 10 días. Te"/>
        <s v="O algo &#10;Por favor, indícame con más detalle en qué puedo ayudarte para derivarte al área correcta. &#10;Me cree la cuenta y e puesto todos los datos perfectos y nada &#10;Tiene que Aver algún error &#10;En la paguina &#10;Para poder ayudarte con tu cuenta, ¿podrías indic"/>
        <s v="Como se puede cancelar el coche&#10;&quot;Hola. &#10;&#10;Para cancelar la reserva, por favor utiliza la app de AVIS Corporate Canarias. La cancelación no tiene coste siempre que se realice antes de la fecha de inicio del contrato. Una vez cancelada podrás crear una nueva"/>
        <s v="&quot;Hello!&#10;I am trying to book a car through the app but it’s showing an error and when i try calling it says “this option is not available”&quot;&#10;Hello! It seems there is an error when booking a car through the app and the phone option is not available at the mo"/>
        <s v="Buenos días, se puede añadir un conductor adicional por si ambos conducimos&#10;No. El único conductor autorizado es la persona registrada en la aplicación. ¿Necesitas que te ayude con algo más?&#10;Ok muchas gracias&#10;Gracias a ti. ¿Necesitas que te ayude con algo"/>
        <s v="Tenía la reserva a las 10 y está cancelada desde 9 y no mi deja&#10;Si tu reserva fue cancelada antes de la hora de inicio y no puedes hacer una nueva, por favor contacta directamente con nuestro equipo de AVIS Corporate Canarias llamando al 928 092 337 para "/>
        <s v="Hola&#10;Tengo un problema&#10;Por favor, indíqueme con más detalle en qué puedo ayudarle para derivarle al área correcta.&#10;Cerré sin querer el contrato&#10;Volví a reservar pero me asigno otra matrícula&#10;En el caso de que haya cerrado sin querer el contrato, necesitam"/>
        <s v="Hola buenas&#10;¡Hola! Soy Corporín, tu asistente virtual de AVIS Corporate en Canarias. ¿En qué puedo ayudarte hoy?&#10;Y se me ha cerrado el Coche&#10;Y se me termino la reserva&#10;Sin Darle a nada&#10;¿Puede confirmarme si no puede acceder al coche porque la reserva ya h"/>
        <s v="Hola, finalicé mi viaje y me dejé pertenencias dentro&#10;Por favor, facilítenos su DNI para poder gestionar la recuperación de sus pertenencias correctamente.&#10;78830522T&#10;&quot;Esta incidencia requiere contactar con nuestros operadores. Le recomendamos que llame a "/>
        <s v="Buenas, donde recojo mi coche del aeropuerto de Tenerife sur?&#10;&quot;Al salir de la terminal de pasajeros, dirígete al aparcamiento de autobuses E07 (Cartel azul). Allí encontrarás el bus lanzadera de AVIS que sale cada 15 minutos y en 5 minutos te llevará a la"/>
        <s v="Hola, como se puede anadir un conductor addicional?&#10;No. El único conductor autorizado es la persona registrada en la aplicación. ¿Necesitas que te ayude con algo más?&#10;y como se puede anadir uno mas?&#10;No. El único conductor autorizado es la persona registra"/>
        <s v="if i book for more than one day,can i use the parking spot during the night&#10;Yes. Con la llave digital de la App puedes acceder al coche 24/7 durante tu reserva, también por la noche. Sin embargo, verifica el horario del parking concreto donde esté el vehí"/>
        <s v="Buenas noches&#10;¡Hola! Soy Corporín, tu asistente virtual de AVIS Corporate en Canarias. ¿En qué puedo ayudarte hoy?&#10;El coche no arranca&#10;El coche no arranca. Se ha enviado una incidencia a nuestro Call Center. Le llamarán cuando estemos en horario laboral ("/>
        <s v="Que pasa si lo devuelvo con menos gasolina&#10;Nuestra política de combustible es &quot;mismo nivel&quot;: debes devolver el vehículo con el mismo nivel de combustible con el que lo recogiste. Si lo devuelves con menos, AVIS repostará y aplicará un recargo por gestión."/>
        <s v="No está el coche&#10;&quot;Lamentablemente, en este momento estamos fuera del horario laboral y no podemos atender tu solicitud. Por favor, contacta directamente con la oficina correspondiente cuando esté abierta o, si es urgente, utiliza el teléfono de contacto d"/>
        <s v="what does “kilómetros limitados” mean &#10;&quot;&quot;&quot;Kilómetros limitados&quot;&quot; no aparece textualmente en la información que tengo disponible.  &#10;En Canarias disfrutas de kilometraje ilimitado en toda la zona. ¿Necesitas que te ayude con algo más?&quot; &#10;&quot;when i go to the ch"/>
        <s v="Where is your key return located in Kansas City. There are several people looking for your kiosk and return canopy.&#10;Hola. Mi asistencia se limita a AVIS Corporate en Canarias. Para Kansas City, consulta directamente con el aeropuerto o su página web ofici"/>
        <s v="&quot;Hola, &#10;Con qué antelación debe cancelarse una reserva?&quot;&#10;Puedes cancelar la reserva en cualquier momento antes de la fecha de inicio del contrato; si la cancelas antes del inicio no tiene coste. Para realizar esa gestión, por favor utiliza la app de AVIS "/>
        <s v="&quot;Buenas noches, tenía una reserva y a la hora de cerrar el coche la app se quedó cargando y me finalizó la reserva, sin haberle dado al botón de finalizar, sino al de cerrar.&#10;Que podría hacer? Ya que el coche está abierto y necesito moverme con el.&quot;&#10;Se ha"/>
        <s v="what is going on?i booked it yesterday&#10;&quot;Hello. Could you please clarify what issue you are experiencing with your booking? If you booked yesterday and have any problem, let me know if it is related to vehicle pick-up, access, cancellation, or any other sp"/>
        <s v="hola necesito factura de la reserva CC-Y9EF-R12606 &#10;Puedes descargar la factura desde la App: entra en &quot;Historial de alquileres&quot;, selecciona la reserva CC-Y9EF-R12606 y pulsa &quot;Descargar factura&quot;. También deberías recibir el comprobante por email. ¿Necesit"/>
        <s v="Buenas tardes &#10;¡Hola! Soy Corporín, tu asistente virtual de AVIS Corporate en Canarias. ¿En qué puedo ayudarte hoy? &#10;Quiero alquilar un coche hoy, pero están actualizando mi documentación y no puedo hacer la reserva &#10;&quot;Para poder proceder con la reserva, e"/>
        <s v="Hola tengo canceladas una reserva por ese lunes. Quiero saber si me van a devolver el dinero &#10;&quot;En caso de cancelación de una reserva, se inicia automáticamente el proceso de devolución del importe. Si la cancelación fue realizada por motivos ajenos a uste"/>
        <s v="No puedo abrir vehículo&#10;&quot;Para poder ayudarte mejor, ¿puedes indicarme cuál de estas opciones describe mejor tu problema al intentar abrir el vehículo?&#10;- Vehículo no disponible&#10;- No aparece la llave digital&#10;- El botón de abrir/cerrar se queda en carga&#10;- Pa"/>
        <s v="Hola&#10;Estoy intentado hacer una reserva pero se está actualizando la documentación y nose lo que tardará . Necesito el vehículo para mañana a primera hora&#10;Estoy intentado hacer una reserva pero se está actualizando la documentación y nose lo que tardará . "/>
        <s v="Hola! &#10;¡Hola! Soy Corporín, tu asistente virtual de AVIS Corporate en Canarias. ¿En qué puedo ayudarte hoy? &#10;He tenido un accidente con un coche avis, yo estando en parada en un paso de peatones un coche me dio por detrás, como debo proceder &#10;Por favor, f"/>
        <s v="&quot;i never got the car because the app was still blocked.I couldn’t cancel the booking,or make a new one&#10;i am now receiving emails that i haven’t returned the car and i should terminate through the app.But it is still blocked&#10;what should i do&quot;&#10;&quot;Thank you fo"/>
        <s v="Necesito alquilar un coche &#10;Pero me tienen que validar el carnet de conducir &#10;Y quiero el coche en 1h &#10;Puedes subir tu carnet de conducir en la App; la validación suele completarse en menos de 24 h. ¿Necesitas que te ayude con algo más? &#10;Ya la subí &#10;Pero "/>
        <s v="Hola buenos dias &#10;Estoy intentando hacer una reserva &#10;??? &#10;Hola, para hacer una reserva debes usar la App de AVIS Corporate Canarias. ¿Necesitas que te ayude con algo más? &#10;Por favor, indícame con más detalle en qué puedo ayudarte para derivarte al área c"/>
        <s v="una duda el seguro al alquilar el coche ? es a todo riesgo? &#10;Cubres responsabilidad civil frente a terceros. Opcionalmente puedes contratar cobertura a todo riesgo sin franquicia (salvo delitos graves o negligencias intencionadas). ¿Necesitas que te ayude"/>
        <s v="Hola, que pasa si tardo 2horas más en entregar el coche? &#10;Puedes ampliar la reserva desde la app de AVIS Corporate Canarias. Es obligatorio ampliar la reserva en la app para evitar perjudicar a otros clientes; si no se puede ampliar puede ser porque otro "/>
        <s v="Hola &#10;¡Hola! Soy Corporín, tu asistente virtual de AVIS Corporate en Canarias. ¿En qué puedo ayudarte hoy? &#10;Mi validación de documentos aún está pendiente pero necesito alquilar un coche y me gustaría saber si hay como &#10;La validación de tu documentación s"/>
        <s v="Buenos días, he mandado los datos y los documentos pero necesito sacar el coche ya &#10;Para a ver si puedo agilizarlo &#10;No se porque me lo piden ahora si he sacado varias veces &#10;Estando dentro del horario laboral, puedes agilizar la recogida llamando directam"/>
        <s v="Hola &#10;He intentado verificar mi documentación en la app Avis Corporate tres veces y sigo sin conseguirlo &#10;¡Hola! Soy Corporín, tu asistente virtual de AVIS Corporate en Canarias. ¿En qué puedo ayudarte hoy? &#10;La validación de la documentación suele complet"/>
        <s v="En que parte de Domingo Alonso me espera el vehículo mañana?&#10;En el taller de Domingo Alonso Tenerife, las plazas de Avis Corporate están disponibles para la recogida de tu vehículo. La dirección es C. las Macetas, 14, 38108 La Laguna, Santa Cruz de Teneri"/>
        <s v="Hola &#10;Soy Felo Martín Sosa &#10;Por favor, indícame con más detalle en qué puedo ayudarte para derivarte al área correcta. &#10;Estoy dándome de alta &#10;Para darte de alta en AVIS Corporate Canarias, debes hacerlo a través de la aplicación móvil. La web es solo inf"/>
        <s v="Hola buenas&#10;¡Hola! Soy Corporín, tu asistente virtual de AVIS Corporate en Canarias. ¿En qué puedo ayudarte hoy?&#10;Creé una cuenta antes para alquilar un coche para el viernes y aún no me deja por qué pone que están validando los datos&#10;Tu cuenta aún está en"/>
        <s v="Que combustible utiliza el VW Taigo? &#10;No tengo información específica sobre el tipo de combustible que utiliza el modelo VW Taigo. &#10;Donde exactamente se encuentra la plaza de parking del vehículo que he alquilado? &#10;Para indicarte la ubicación exacta de la"/>
        <s v="Hola, me acaba de llegar un correo avisando de que mi alquiler está a punto de terminar en 10 min pero el punto de entrega no ha abierto&#10;Se ha enviado una incidencia a nuestro Call Center. Le llamarán cuando estemos en horario laboral (08:00 a 20:00h de l"/>
        <s v="No se abre el coche &#10;&quot;Para poder ayudarte, necesito saber exactamente qué ocurre al intentar abrir el coche. ¿Puedes indicarme cuál de estas situaciones se ajusta más a tu caso?&#10;&#10;- Vehículo no disponible.&#10;- No aparece la llave digital en la app.&#10;- El botó"/>
        <s v="Buenos días &#10;¡Hola! Soy Corporín, tu asistente virtual de AVIS Corporate en Canarias. ¿En qué puedo ayudarte hoy? &#10;Aún no he podido reservar el coche ya que no se me han verificado los datos &#10;Actualmente, si los datos de tu cuenta no se han verificado, no"/>
        <s v="Hola, he actualizado la aplicación y cuando voy a subir la foto del DNI la cámara se queda en negra &#10;Gracias por informarnos. Te recomiendo desinstalar y volver a instalar la aplicación para corregir el fallo de la cámara. Si el problema continúa, por fav"/>
        <s v="Hola &#10;tengo problemas para hacer una reserva, me pone que contacte con vosotros &#10;¡Hola! Soy Corporín, tu asistente virtual de AVIS Corporate en Canarias. ¿En qué puedo ayudarte hoy? &#10;Esto &#10;Por favor, indícame con más detalle en qué puedo ayudarte para der"/>
        <s v="Se prendo un auto a LAS palmas si può lasciare all'aereoporto, quindi in 2 posti diversi? &#10;No, tutti i veicoli devono essere riconsegnati nella stessa posizione in cui sono stati ritirati al termine del noleggio. Devi terminare il noleggio negli appositi "/>
        <s v="Hola&#10;¡Hola! Soy Corporín, tu asistente virtual de AVIS Corporate en Canarias. ¿En qué puedo ayudarte hoy?&#10;No me deja ampliar el horario para mañana&#10;Llame y me dijeron q podria&#10;Para ampliar el horario de tu reserva para mañana, debes contactar directamente"/>
        <s v="Hola buenas&#10;¡Hola! Soy Corporín, tu asistente virtual de AVIS Corporate en Canarias. ¿En qué puedo ayudarte hoy?&#10;Estoy intentando coger un coche pero no me lo permite&#10;Y no me dice motivo&#10;&quot;Para poder ayudarte, ¿puedes indicar qué sucede exactamente al inte"/>
        <s v="Buenos días &#10;¡Hola! Soy Corporín, tu asistente virtual de AVIS Corporate en Canarias. ¿En qué puedo ayudarte hoy? &#10;Estoy intentando efectuar una reserva vehículo en el aeropuerto de Gran Canaria , próximo sábado 15 de noviembre , para retirar vehículo a l"/>
        <s v="Cuando se me validan los documentos &#10;La validación de tu documentación se completa habitualmente en menos de 24 horas después de subirla a la App. Recibirás un email o notificación cuando tu cuenta esté activa. &#10;Y si quiero reservar un coche y no me lo ha"/>
        <s v="Buenos dias no me permite reservar coche desde la app &#10;&quot;Actualmente estamos experimentando incidencias con la app para realizar reservas. Por favor, le recomendamos que intente realizar su reserva desde nuestra web corporativa. Si sigue teniendo problemas"/>
        <s v="Buenos dias. Hay servicio bus desde aeropuerto a base los domingos? &#10;&quot;Hola,&#10;&#10;Sí, en el Aeropuerto de Tenerife Norte y en el Aeropuerto de Tenerife Sur disponemos de un servicio de shuttle que te lleva a la oficina de AVIS.&#10;&#10;En el Aeropuerto de Tenerife No"/>
        <s v="No me abre la llave &#10;Indíqueme, por favor, si la llave es digital y no aparece en la aplicación, si el botón de abrir/cerrar se queda en carga, si le sale una pantalla verde en el sistema, o si el vehículo directamente no está disponible. Así podré ayudar"/>
        <s v="Hima &#10;Hola &#10;Si tengo cogido un coche para las 12 y llego más tarde pasa algo &#10;¡Hola! Soy Corporín, tu asistente virtual de AVIS Corporate en Canarias. ¿En qué puedo ayudarte hoy? &#10;. &#10;Por favor, indícame con más detalle en qué puedo ayudarte para derivarte"/>
        <s v="Buenos días&#10;¡Hola! Soy Corporín, tu asistente virtual de AVIS Corporate en Canarias. ¿En qué puedo ayudarte hoy?&#10;Estoy teniendo problemas para hacer una reserva mi nombre es LAURA RODRÍGUEZ HERNÁNDEZ me dice aplicación q me ponga el contacto con ustedes&#10;&quot;"/>
        <s v="Hola quería ampliar mi vehículo 1 días más pero por la aplicación me sale que el coche está reservado, podría ayudarme? &#10;&quot;Parece que el vehículo asignado a su reserva no se encuentra disponible para ampliación en este momento. Para poder ayudarle, le suge"/>
        <s v="Mande los documentos ayer por la noche a las 00 &#10;La validación de tu documentación se completa habitualmente en menos de 24 horas después de subirla a la App. Recibirás un email o notificación cuando tu cuenta esté activa. &#10;Aunque sea fin de semana? &#10;La v"/>
        <s v="No puedo reservar un coche &#10;&quot;Para poder ayudarte con la reserva, por favor indícame el aeropuerto u oficina donde necesitas reservar y, si lo prefieres, también puedes llamar directamente a uno de nuestros teléfonos de contacto según tu ubicación:&#10;Aeropue"/>
        <s v="Buenas tardes&#10;Necesito hablar con un agente&#10;Para poder terminar la reserva&#10;Tu solicitud ha sido enviada. Un agente de soporte te atenderá lo antes posible. Gracias por tu paciencia.&#10;Gracias&#10;Tu solicitud ha sido enviada. Un agente de soporte te atenderá lo"/>
        <s v="Hola! Le he dado a finalizar viaje sin querer &#10;Y tengo reservado el coche hasta mañana, que hago? &#10;&quot;Si has finalizado el viaje por error, es necesario que contactes con nuestro equipo para que podamos gestionarlo cuanto antes. Por favor, llama al número d"/>
        <s v="Hola, he tenido un problema con una reserva &#10;¿Podrías indicarme qué problema has tenido exactamente con la reserva? Por ejemplo: ¿No estaba disponible el coche? ¿La reserva desapareció de la app? ¿El vehículo no arrancaba? Así podré ayudarte con la soluci"/>
        <s v="Hola &#10;¡Hola! Soy Corporín, tu asistente virtual de AVIS Corporate en Canarias. ¿En qué puedo ayudarte hoy&quot;Tengo una reserva para esta tarde a las 18, y me gustaría coger el&#10;Coche antes por necesidad&quot; &#10;&quot;Para adelantar la recogida de tu coche, por favor, ac"/>
        <s v="Hola tengo reserva de un coche &#10;Y me pone wrong parameters &#10;&quot;Para poder ayudarte con el mensaje &quot;&quot;wrong parameters&quot;&quot; en tu reserva, ¿puedes facilitarme tu DNI para gestionar la incidencia correctamente? Si prefieres una atención más rápida, también puedes"/>
        <s v="No me deja hacer una reserva &#10;Para poder ayudarte con la reserva, necesito que me indiques exactamente qué mensaje te aparece o qué problema encuentras al intentar hacer la reserva. ¿Podrías darme más detalles? También dime si necesitas hacerla para hoy m"/>
        <s v="¿Cuánto tiempo tengo para cancelar gratis? &#10;Tienes 14 días naturales para desistir sin penalización, siempre que no hayas iniciado tu primer alquiler. Si ya has recogido el vehículo, se entenderá consumido el servicio y no procede desistimiento. &#10;¿Cuánto "/>
        <s v="No puedo reservar el coche. Me dice “no puedes hacer la prenotacion” pero porque? &#10;&quot;El mensaje “no puedes hacer la prenotación” puede deberse a problemas de disponibilidad, bloqueo temporal o restricciones en tu perfil. Te recomiendo llamar a nuestras ofi"/>
        <s v="Estoy intentando alquilar un coche para mañana y no me deja &#10;&quot;Para poder ayudarte mejor, ¿puedes decirme qué mensaje o error te aparece exactamente cuando intentas hacer la reserva? Si prefieres asistencia inmediata, puedes llamar al teléfono correspondie"/>
        <s v="He llamado hoy a la oficina de Fuerteventura y no han podido contestarme, me han dicho que mande un WhatsApp y no me han contestado para ampliar la reserva &#10;Lamentamos las molestias. El teléfono directo para gestionar ampliaciones en Fuerteventura es 606 "/>
        <s v="Hola buenas noches. El app no me hace reservar el coche en Las Palmas por Miércoles 12 noviembre de 11 a 13.30. Está todo bien, pero al último momento me dice &quot;Oops! Algo fue malo&quot; &#10;&quot;Gracias por informarnos del error. Por favor, para completar la reserva "/>
        <s v="Error de reserva &#10;&quot;¿Puede indicar exactamente qué error aparece al intentar gestionar su reserva? Así podremos ayudarle con la solución más adecuada. Si prefiere atención telefónica inmediata, puede llamar a:&#10;&#10;Aeropuerto Las Palmas: 670 553 417  &#10;Aeropuer"/>
        <s v="Quiero reservar un coche para mañana &#10;Para reservar un coche, por favor utiliza la app de AVIS Corporate Canarias. La web es solo informativa."/>
        <s v="Macchina per oggi alle 9 am a las palmas? &#10;Mi asistencia se limita a AVIS Corporate en Canarias. Para Las Palmas, consulta directamente con el aeropuerto o su página web oficial."/>
        <s v="Buenos días , estoy intentando poder hacer una reserva y no me deja reservar he actualizado mis datos y aún así nada . Necesito solicitar un alquiler para hoy . Saludos &#10;Actualmente estamos fuera del horario laboral (08:00 a 20:00h de lunes a viernes, UTC"/>
        <s v="Con cuanta gasolina tengo que dejar el coche&#10;Debes devolver el vehículo con el mismo nivel de combustible con el que lo recogiste. Si lo devuelves con menos, AVIS repostará y aplicará un recargo por gestión."/>
        <s v="hola , hemos reservado un coche y no somos capaces de abrirlo, pone que alguien ha sido más rápido &#10;y tenemos el coche delante &#10;andrea ros cavero &#10;Parece que el sistema indica que el vehículo no está disponible y alguien ha sido más rápido asignándose ese"/>
        <s v="Hola, quisiera saber cuál es el problema con mi cuenta. Ya no puedo reservar coches. ¿Cuál es el problema? &#10;Actualmente estamos fuera del horario laboral. Se ha enviado una incidencia a nuestro Call Center. Le llamarán cuando estemos en horario laboral (0"/>
        <s v="Problema con reserva a la hora de pagar y me dice contactar &#10;Para poder ayudarte con el problema de pago en tu reserva, por favor contacta con nuestro servicio de asistencia en el 928 092 337 para que podamos revisarlo contigo al momento. Si lo prefieres,"/>
        <s v="&quot;Hola buenos días estoy intentando subir fotos de mi DNI y carnet de conducir para confirmar dicha información en mi perfil y no me deja&#10;No se porque motivo al abrir la cámara se queda en negro&#10;Ya he eliminado la app y la he vuelto a descargar&#10;Comprobé qu"/>
        <s v="Hola buenas tardes &#10;Estoy intentando hacer una reserva desde hace días &#10;Siempre sale esto &#10;A mi amigo también &#10;Gracias por informarnos. Para poder ayudarte mejor, ¿podrías indicarnos qué mensaje exacto aparece cuando intentas hacer la reserva? Así podremo"/>
        <s v="¿El seguro del coche es a todo riesgo? &#10;La tarifa corporativa incluye seguro a terceros. De manera opcional, puedes contratar una cobertura a todo riesgo sin franquicia, salvo en casos de delitos graves o negligencias intencionadas. Los daños fortuitos al"/>
        <s v="Como puedo añadir una cuenta de empresa? &#10;Para activar tu cuenta de empresa, necesitas completar y enviar un formulario SEPA junto con un certificado de titularidad bancaria. Por favor, contacta con corporate@aviscanarias.es para gestionar el alta de tu e"/>
        <s v="Voy a recoger el coche más tarde, se adapta la tarifa? &#10;Dispones de 2 horas de gracia tras la hora de inicio programada para recoger el vehículo. Si no lo recoges en ese plazo y no avisas, la reserva se considerará &quot;No-Show&quot; y se te cobrará el importe com"/>
        <s v="He cancelado una reserva por error y me la han cobrado &#10;Gracias por informarnos. Te recomiendo que llames al 928 092 337 para que puedan revisar tu caso y tramitar la devolución si corresponde, ya que estás en horario laboral."/>
        <s v="I should  fuel the car to the same level before returning, no? &#10;Yes, that's correct. We operate under a &quot;same level&quot; fuel policy. You should return the vehicle with the same fuel level as when you picked it up. If you return it with less fuel, AVIS will r"/>
        <s v="Ваше приложение запрашивает у меня обновить документы но фотоаппарат не работает. Я пытался зайти в настройки но в настройках доступ до фотоаппарата есть не понимаю в чем проблема. А также у меня были все документы добавлены почему именно сейчас нужно был"/>
        <s v="Tengo una incidencia enorme &#10;He finalizado sin querer el contrato &#10;Y ahora quiero volver a contratar el vehículo &#10;Y no me lo localiza &#10;En el caso de que su reserva se haya cancelado por error, necesitamos generarle una nueva reserva con el vehículo que te"/>
        <s v="Buenas tardes, estoy tratando de hacer una reserva pero me sale que ha habido un problema y que contacte con ustedes &#10;&quot;Buenas tardes. Si está teniendo problemas para realizar su reserva online, le recomendamos contactar directamente con nuestro servicio t"/>
        <s v="Buenos días, he hecho una reserva con número Y9F1-R12B8C y necesitaba ampliarla unas horas por trabajo &#10;Para ampliar su reserva, debe llamar directamente a nuestro número de atención: 928 092 337. Le gestionarán la ampliación en el momento."/>
        <s v="Buenos días he realizado dos reservas , la primera la he cancelado porque el coche no estaba , he ralizado la segunda y me ha pasado lo minso &#10;tengo dos cobros en al cuenta y no tengo coche &#10;Parece que en ambas ocasiones el vehículo asignado a su reserva "/>
        <s v="Cuánto tardan en validar mi documentación? &#10;La validación de tu documentación suele completarse en menos de 24 horas después de subirla a la App. Recibirás un email o notificación cuando tu cuenta esté activa. &#10;Por eso lo pregunto ! Ya hace más de 24 hora"/>
        <m/>
      </sharedItems>
    </cacheField>
    <cacheField name="Tasa de Automatización" numFmtId="0">
      <sharedItems containsBlank="1">
        <s v="OK"/>
        <s v="NOK"/>
        <m/>
      </sharedItems>
    </cacheField>
    <cacheField name="First Contact Resolution Rate - FCR" numFmtId="0">
      <sharedItems containsBlank="1">
        <s v="OK"/>
        <s v="NOK"/>
        <m/>
      </sharedItems>
    </cacheField>
    <cacheField name="Valoración respuesta (Precisión)" numFmtId="0">
      <sharedItems containsBlank="1">
        <s v="Mejorable"/>
        <s v="Bien"/>
        <s v="Mal"/>
        <m/>
      </sharedItems>
    </cacheField>
    <cacheField name="Resultado deseado" numFmtId="0">
      <sharedItems containsBlank="1">
        <s v="Añadir contenido al FAQ"/>
        <m/>
        <s v="Se indica la posibilidad de gestionar la reserva desde la web"/>
        <s v="Spaniglish"/>
        <s v="No muestra tabla de incidencias con posibles soluciones. NO propone llamar a RACE 24/7"/>
        <s v="No muestra tabla de incidencias con posibles soluciones.  No genera mail"/>
        <s v="No responde en el mismo idioma"/>
        <s v="No pide matrícula"/>
        <s v="Añadir información específica de gestionar accidente"/>
        <s v="Se indica que tenemos linea 24/7 en aeropuerto incorrectamente."/>
        <s v="Añadir información combustible"/>
        <s v="Información contradictoria sobre la devolución parcial por devolución anticipada"/>
        <s v="Mala información sobre la gestión desde la web: &quot;Por favor, le recomendamos que intente realizar su reserva desde nuestra web corporativa.&quot;"/>
        <s v="No le dice el punto 16 del FAQ que habla de este tema"/>
        <s v="Se añade el punto 17 en el FAQ contemplando este caso de cancelación anticipada."/>
        <s v="Idioma mal, respuesta vaga"/>
        <s v="No indicaría &quot;le llamarán&quot; sino que llame él"/>
        <s v="No responde el punto 15 del FAQ sobre este punto"/>
        <s v="Se indica horario 24/7 incorrectament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Resumen" cacheId="0" dataCaption="" compact="0" compactData="0">
  <location ref="A2:F7" firstHeaderRow="0" firstDataRow="1"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Precisión" axis="axisRow" compact="0" outline="0" multipleItemSelectionAllowed="1" showAll="0" sortType="ascending">
      <items>
        <item x="2"/>
        <item x="1"/>
        <item x="0"/>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asa de Automatización" compact="0" outline="0" multipleItemSelectionAllowed="1" showAll="0">
      <items>
        <item x="0"/>
        <item x="1"/>
        <item x="2"/>
        <item t="default"/>
      </items>
    </pivotField>
    <pivotField name="First Contact Resolution Rate - FCR" compact="0" outline="0" multipleItemSelectionAllowed="1" showAll="0">
      <items>
        <item x="0"/>
        <item x="1"/>
        <item x="2"/>
        <item t="default"/>
      </items>
    </pivotField>
    <pivotField name="Valoración respuesta (Precisión)" axis="axisCol" compact="0" outline="0" multipleItemSelectionAllowed="1" showAll="0" sortType="ascending">
      <items>
        <item x="3"/>
        <item x="1"/>
        <item x="2"/>
        <item x="0"/>
        <item t="default"/>
      </items>
    </pivotField>
    <pivotField name="Resultado desead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2"/>
  </rowFields>
  <colFields>
    <field x="6"/>
  </colFields>
  <dataFields>
    <dataField name="COUNTA of Día / Hora" fld="1" subtotal="count" baseField="0"/>
  </dataFields>
</pivotTableDefinition>
</file>

<file path=xl/pivotTables/pivotTable2.xml><?xml version="1.0" encoding="utf-8"?>
<pivotTableDefinition xmlns="http://schemas.openxmlformats.org/spreadsheetml/2006/main" name="Resumen 2" cacheId="0" dataCaption="" compact="0" compactData="0">
  <location ref="A10:E12" firstHeaderRow="0" firstDataRow="0"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ipo de acción" compact="0" outline="0" multipleItemSelectionAllowed="1" showAll="0">
      <items>
        <item x="0"/>
        <item x="1"/>
        <item x="2"/>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asa de Automatización" axis="axisCol" compact="0" outline="0" multipleItemSelectionAllowed="1" showAll="0" sortType="ascending">
      <items>
        <item x="2"/>
        <item x="0"/>
        <item x="1"/>
        <item t="default"/>
      </items>
    </pivotField>
    <pivotField name="First Contact Resolution Rate - FCR" compact="0" outline="0" multipleItemSelectionAllowed="1" showAll="0">
      <items>
        <item x="0"/>
        <item x="1"/>
        <item x="2"/>
        <item t="default"/>
      </items>
    </pivotField>
    <pivotField name="Valoración respuesta (Precisión)" compact="0" outline="0" multipleItemSelectionAllowed="1" showAll="0">
      <items>
        <item x="0"/>
        <item x="1"/>
        <item x="2"/>
        <item x="3"/>
        <item t="default"/>
      </items>
    </pivotField>
    <pivotField name="Resultado desead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colFields>
    <field x="4"/>
  </colFields>
  <dataFields>
    <dataField name="COUNTA of Día / Hora" fld="1" subtotal="count" baseField="0"/>
  </dataFields>
</pivotTableDefinition>
</file>

<file path=xl/pivotTables/pivotTable3.xml><?xml version="1.0" encoding="utf-8"?>
<pivotTableDefinition xmlns="http://schemas.openxmlformats.org/spreadsheetml/2006/main" name="Resumen 3" cacheId="0" dataCaption="" compact="0" compactData="0">
  <location ref="A16:E18" firstHeaderRow="0" firstDataRow="0"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ipo de acción" compact="0" outline="0" multipleItemSelectionAllowed="1" showAll="0">
      <items>
        <item x="0"/>
        <item x="1"/>
        <item x="2"/>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asa de Automatización" compact="0" outline="0" multipleItemSelectionAllowed="1" showAll="0">
      <items>
        <item x="0"/>
        <item x="1"/>
        <item x="2"/>
        <item t="default"/>
      </items>
    </pivotField>
    <pivotField name="First Contact Resolution Rate - FCR" axis="axisCol" compact="0" outline="0" multipleItemSelectionAllowed="1" showAll="0" sortType="ascending">
      <items>
        <item x="2"/>
        <item x="0"/>
        <item x="1"/>
        <item t="default"/>
      </items>
    </pivotField>
    <pivotField name="Valoración respuesta (Precisión)" compact="0" outline="0" multipleItemSelectionAllowed="1" showAll="0">
      <items>
        <item x="0"/>
        <item x="1"/>
        <item x="2"/>
        <item x="3"/>
        <item t="default"/>
      </items>
    </pivotField>
    <pivotField name="Resultado deseado"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colFields>
    <field x="5"/>
  </colFields>
  <dataFields>
    <dataField name="COUNTA of Día / Hora" fld="1" subtotal="count" baseField="0"/>
  </dataFields>
</pivotTableDefinition>
</file>

<file path=xl/pivotTables/pivotTable4.xml><?xml version="1.0" encoding="utf-8"?>
<pivotTableDefinition xmlns="http://schemas.openxmlformats.org/spreadsheetml/2006/main" name="Resumen 4" cacheId="1" dataCaption="" compact="0" compactData="0">
  <location ref="A24:F29" firstHeaderRow="0" firstDataRow="1"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ecisión" axis="axisRow" compact="0" outline="0" multipleItemSelectionAllowed="1" showAll="0" sortType="ascending">
      <items>
        <item x="2"/>
        <item x="1"/>
        <item x="0"/>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Tasa de Automatización" compact="0" outline="0" multipleItemSelectionAllowed="1" showAll="0">
      <items>
        <item x="0"/>
        <item x="1"/>
        <item x="2"/>
        <item t="default"/>
      </items>
    </pivotField>
    <pivotField name="First Contact Resolution Rate - FCR" compact="0" outline="0" multipleItemSelectionAllowed="1" showAll="0">
      <items>
        <item x="0"/>
        <item x="1"/>
        <item x="2"/>
        <item t="default"/>
      </items>
    </pivotField>
    <pivotField name="Valoración respuesta (Precisión)" axis="axisCol" compact="0" outline="0" multipleItemSelectionAllowed="1" showAll="0" sortType="ascending">
      <items>
        <item x="3"/>
        <item x="0"/>
        <item x="2"/>
        <item x="1"/>
        <item t="default"/>
      </items>
    </pivotField>
    <pivotField name="Resultado deseado" compact="0" outline="0" multipleItemSelectionAllowed="1" showAll="0">
      <items>
        <item x="0"/>
        <item x="1"/>
        <item x="2"/>
        <item x="3"/>
        <item x="4"/>
        <item x="5"/>
        <item x="6"/>
        <item x="7"/>
        <item x="8"/>
        <item x="9"/>
        <item t="default"/>
      </items>
    </pivotField>
  </pivotFields>
  <rowFields>
    <field x="2"/>
  </rowFields>
  <colFields>
    <field x="6"/>
  </colFields>
  <dataFields>
    <dataField name="COUNTA of Día / Hora" fld="1" subtotal="count" baseField="0"/>
  </dataFields>
</pivotTableDefinition>
</file>

<file path=xl/pivotTables/pivotTable5.xml><?xml version="1.0" encoding="utf-8"?>
<pivotTableDefinition xmlns="http://schemas.openxmlformats.org/spreadsheetml/2006/main" name="Resumen 5" cacheId="1" dataCaption="" compact="0" compactData="0">
  <location ref="A32:E34" firstHeaderRow="0" firstDataRow="0"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Tipo de acción" compact="0" outline="0" multipleItemSelectionAllowed="1" showAll="0">
      <items>
        <item x="0"/>
        <item x="1"/>
        <item x="2"/>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Tasa de Automatización" axis="axisCol" compact="0" outline="0" multipleItemSelectionAllowed="1" showAll="0" sortType="ascending">
      <items>
        <item x="2"/>
        <item x="0"/>
        <item x="1"/>
        <item t="default"/>
      </items>
    </pivotField>
    <pivotField name="First Contact Resolution Rate - FCR" compact="0" outline="0" multipleItemSelectionAllowed="1" showAll="0">
      <items>
        <item x="0"/>
        <item x="1"/>
        <item x="2"/>
        <item t="default"/>
      </items>
    </pivotField>
    <pivotField name="Valoración respuesta (Precisión)" compact="0" outline="0" multipleItemSelectionAllowed="1" showAll="0">
      <items>
        <item x="0"/>
        <item x="1"/>
        <item x="2"/>
        <item x="3"/>
        <item t="default"/>
      </items>
    </pivotField>
    <pivotField name="Resultado deseado" compact="0" outline="0" multipleItemSelectionAllowed="1" showAll="0">
      <items>
        <item x="0"/>
        <item x="1"/>
        <item x="2"/>
        <item x="3"/>
        <item x="4"/>
        <item x="5"/>
        <item x="6"/>
        <item x="7"/>
        <item x="8"/>
        <item x="9"/>
        <item t="default"/>
      </items>
    </pivotField>
  </pivotFields>
  <colFields>
    <field x="4"/>
  </colFields>
  <dataFields>
    <dataField name="COUNTA of Día / Hora" fld="1" subtotal="count" baseField="0"/>
  </dataFields>
</pivotTableDefinition>
</file>

<file path=xl/pivotTables/pivotTable6.xml><?xml version="1.0" encoding="utf-8"?>
<pivotTableDefinition xmlns="http://schemas.openxmlformats.org/spreadsheetml/2006/main" name="Resumen 6" cacheId="1" dataCaption="" compact="0" compactData="0">
  <location ref="A38:E40" firstHeaderRow="0" firstDataRow="0"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Tipo de acción" compact="0" outline="0" multipleItemSelectionAllowed="1" showAll="0">
      <items>
        <item x="0"/>
        <item x="1"/>
        <item x="2"/>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Tasa de Automatización" compact="0" outline="0" multipleItemSelectionAllowed="1" showAll="0">
      <items>
        <item x="0"/>
        <item x="1"/>
        <item x="2"/>
        <item t="default"/>
      </items>
    </pivotField>
    <pivotField name="First Contact Resolution Rate - FCR" axis="axisCol" compact="0" outline="0" multipleItemSelectionAllowed="1" showAll="0" sortType="ascending">
      <items>
        <item x="2"/>
        <item x="0"/>
        <item x="1"/>
        <item t="default"/>
      </items>
    </pivotField>
    <pivotField name="Valoración respuesta (Precisión)" compact="0" outline="0" multipleItemSelectionAllowed="1" showAll="0">
      <items>
        <item x="0"/>
        <item x="1"/>
        <item x="2"/>
        <item x="3"/>
        <item t="default"/>
      </items>
    </pivotField>
    <pivotField name="Resultado deseado" compact="0" outline="0" multipleItemSelectionAllowed="1" showAll="0">
      <items>
        <item x="0"/>
        <item x="1"/>
        <item x="2"/>
        <item x="3"/>
        <item x="4"/>
        <item x="5"/>
        <item x="6"/>
        <item x="7"/>
        <item x="8"/>
        <item x="9"/>
        <item t="default"/>
      </items>
    </pivotField>
  </pivotFields>
  <colFields>
    <field x="5"/>
  </colFields>
  <dataFields>
    <dataField name="COUNTA of Día / Hora" fld="1" subtotal="count" baseField="0"/>
  </dataFields>
</pivotTableDefinition>
</file>

<file path=xl/pivotTables/pivotTable7.xml><?xml version="1.0" encoding="utf-8"?>
<pivotTableDefinition xmlns="http://schemas.openxmlformats.org/spreadsheetml/2006/main" name="Resumen 7" cacheId="2" dataCaption="" compact="0" compactData="0">
  <location ref="A50:F55" firstHeaderRow="0" firstDataRow="1"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ecisión" axis="axisRow" compact="0" outline="0" multipleItemSelectionAllowed="1" showAll="0" sortType="ascending">
      <items>
        <item x="2"/>
        <item x="0"/>
        <item x="1"/>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Tasa de Automatización" compact="0" outline="0" multipleItemSelectionAllowed="1" showAll="0">
      <items>
        <item x="0"/>
        <item x="1"/>
        <item x="2"/>
        <item t="default"/>
      </items>
    </pivotField>
    <pivotField name="First Contact Resolution Rate - FCR" compact="0" outline="0" multipleItemSelectionAllowed="1" showAll="0">
      <items>
        <item x="0"/>
        <item x="1"/>
        <item x="2"/>
        <item t="default"/>
      </items>
    </pivotField>
    <pivotField name="Valoración respuesta (Precisión)" axis="axisCol" compact="0" outline="0" multipleItemSelectionAllowed="1" showAll="0" sortType="ascending">
      <items>
        <item x="3"/>
        <item x="1"/>
        <item x="2"/>
        <item x="0"/>
        <item t="default"/>
      </items>
    </pivotField>
    <pivotField name="Resultado deseado"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2"/>
  </rowFields>
  <colFields>
    <field x="6"/>
  </colFields>
  <dataFields>
    <dataField name="COUNTA of Día / Hora" fld="1" subtotal="count" baseField="0"/>
  </dataFields>
</pivotTableDefinition>
</file>

<file path=xl/pivotTables/pivotTable8.xml><?xml version="1.0" encoding="utf-8"?>
<pivotTableDefinition xmlns="http://schemas.openxmlformats.org/spreadsheetml/2006/main" name="Resumen 8" cacheId="2" dataCaption="" compact="0" compactData="0">
  <location ref="A58:E60" firstHeaderRow="0" firstDataRow="0"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po de acción" compact="0" outline="0" multipleItemSelectionAllowed="1" showAll="0">
      <items>
        <item x="0"/>
        <item x="1"/>
        <item x="2"/>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Tasa de Automatización" axis="axisCol" compact="0" outline="0" multipleItemSelectionAllowed="1" showAll="0" sortType="ascending">
      <items>
        <item x="2"/>
        <item x="1"/>
        <item x="0"/>
        <item t="default"/>
      </items>
    </pivotField>
    <pivotField name="First Contact Resolution Rate - FCR" compact="0" outline="0" multipleItemSelectionAllowed="1" showAll="0">
      <items>
        <item x="0"/>
        <item x="1"/>
        <item x="2"/>
        <item t="default"/>
      </items>
    </pivotField>
    <pivotField name="Valoración respuesta (Precisión)" compact="0" outline="0" multipleItemSelectionAllowed="1" showAll="0">
      <items>
        <item x="0"/>
        <item x="1"/>
        <item x="2"/>
        <item x="3"/>
        <item t="default"/>
      </items>
    </pivotField>
    <pivotField name="Resultado deseado" compact="0" outline="0" multipleItemSelectionAllowed="1" showAll="0">
      <items>
        <item x="0"/>
        <item x="1"/>
        <item x="2"/>
        <item x="3"/>
        <item x="4"/>
        <item x="5"/>
        <item x="6"/>
        <item x="7"/>
        <item x="8"/>
        <item x="9"/>
        <item x="10"/>
        <item x="11"/>
        <item x="12"/>
        <item x="13"/>
        <item x="14"/>
        <item x="15"/>
        <item x="16"/>
        <item x="17"/>
        <item x="18"/>
        <item t="default"/>
      </items>
    </pivotField>
  </pivotFields>
  <colFields>
    <field x="4"/>
  </colFields>
  <dataFields>
    <dataField name="COUNTA of Día / Hora" fld="1" subtotal="count" baseField="0"/>
  </dataFields>
</pivotTableDefinition>
</file>

<file path=xl/pivotTables/pivotTable9.xml><?xml version="1.0" encoding="utf-8"?>
<pivotTableDefinition xmlns="http://schemas.openxmlformats.org/spreadsheetml/2006/main" name="Resumen 9" cacheId="2" dataCaption="" compact="0" compactData="0">
  <location ref="A64:E66" firstHeaderRow="0" firstDataRow="0" firstDataCol="1"/>
  <pivotFields>
    <pivotField name="Teléfon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ía / Hor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po de acción" compact="0" outline="0" multipleItemSelectionAllowed="1" showAll="0">
      <items>
        <item x="0"/>
        <item x="1"/>
        <item x="2"/>
        <item t="default"/>
      </items>
    </pivotField>
    <pivotField name="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Tasa de Automatización" compact="0" outline="0" multipleItemSelectionAllowed="1" showAll="0">
      <items>
        <item x="0"/>
        <item x="1"/>
        <item x="2"/>
        <item t="default"/>
      </items>
    </pivotField>
    <pivotField name="First Contact Resolution Rate - FCR" axis="axisCol" compact="0" outline="0" multipleItemSelectionAllowed="1" showAll="0" sortType="ascending">
      <items>
        <item x="2"/>
        <item x="1"/>
        <item x="0"/>
        <item t="default"/>
      </items>
    </pivotField>
    <pivotField name="Valoración respuesta (Precisión)" compact="0" outline="0" multipleItemSelectionAllowed="1" showAll="0">
      <items>
        <item x="0"/>
        <item x="1"/>
        <item x="2"/>
        <item x="3"/>
        <item t="default"/>
      </items>
    </pivotField>
    <pivotField name="Resultado deseado" compact="0" outline="0" multipleItemSelectionAllowed="1" showAll="0">
      <items>
        <item x="0"/>
        <item x="1"/>
        <item x="2"/>
        <item x="3"/>
        <item x="4"/>
        <item x="5"/>
        <item x="6"/>
        <item x="7"/>
        <item x="8"/>
        <item x="9"/>
        <item x="10"/>
        <item x="11"/>
        <item x="12"/>
        <item x="13"/>
        <item x="14"/>
        <item x="15"/>
        <item x="16"/>
        <item x="17"/>
        <item x="18"/>
        <item t="default"/>
      </items>
    </pivotField>
  </pivotFields>
  <colFields>
    <field x="5"/>
  </colFields>
  <dataFields>
    <dataField name="COUNTA of Día / Hora" fld="1" subtotal="count" baseField="0"/>
  </dataFields>
</pivotTableDefinition>
</file>

<file path=xl/tables/table1.xml><?xml version="1.0" encoding="utf-8"?>
<table xmlns="http://schemas.openxmlformats.org/spreadsheetml/2006/main" ref="A1:H9" displayName="Table_1" name="Table_1" id="1">
  <tableColumns count="8">
    <tableColumn name="Teléfono cliente" id="1"/>
    <tableColumn name="Día / Hora" id="2"/>
    <tableColumn name="Tipo de acción" id="3"/>
    <tableColumn name="Respuesta" id="4"/>
    <tableColumn name="Tasa de Automatización" id="5"/>
    <tableColumn name="First Contact Resolution Rate - FCR" id="6"/>
    <tableColumn name="Valoración respuesta (Precisión)" id="7"/>
    <tableColumn name="Resultado deseado" id="8"/>
  </tableColumns>
  <tableStyleInfo name="Casos Mal (3.0)-style" showColumnStripes="0" showFirstColumn="1" showLastColumn="1" showRowStripes="1"/>
</table>
</file>

<file path=xl/tables/table2.xml><?xml version="1.0" encoding="utf-8"?>
<table xmlns="http://schemas.openxmlformats.org/spreadsheetml/2006/main" headerRowCount="0" ref="A1:G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Otras mejoras deseabl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H1:H3" displayName="Table_3" name="Table_3" id="3">
  <tableColumns count="1">
    <tableColumn name="Column1" id="1"/>
  </tableColumns>
  <tableStyleInfo name="Otras mejoras deseables-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cXIG7IEvWKMiaIbXZOZvTYbZcftXg5XDYn9L4Mloi2o/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11" Type="http://schemas.openxmlformats.org/officeDocument/2006/relationships/drawing" Target="../drawings/drawing5.xml"/><Relationship Id="rId10" Type="http://schemas.openxmlformats.org/officeDocument/2006/relationships/pivotTable" Target="../pivotTables/pivotTable9.xml"/><Relationship Id="rId12" Type="http://schemas.openxmlformats.org/officeDocument/2006/relationships/vmlDrawing" Target="../drawings/vmlDrawing4.vml"/><Relationship Id="rId9" Type="http://schemas.openxmlformats.org/officeDocument/2006/relationships/pivotTable" Target="../pivotTables/pivotTable8.xml"/><Relationship Id="rId5" Type="http://schemas.openxmlformats.org/officeDocument/2006/relationships/pivotTable" Target="../pivotTables/pivotTable4.xml"/><Relationship Id="rId6" Type="http://schemas.openxmlformats.org/officeDocument/2006/relationships/pivotTable" Target="../pivotTables/pivotTable5.xml"/><Relationship Id="rId7" Type="http://schemas.openxmlformats.org/officeDocument/2006/relationships/pivotTable" Target="../pivotTables/pivotTable6.xml"/><Relationship Id="rId8"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30.0"/>
    <col customWidth="1" min="3" max="3" width="23.63"/>
    <col customWidth="1" min="4" max="4" width="85.0"/>
    <col customWidth="1" min="5" max="5" width="107.75"/>
    <col customWidth="1" min="6" max="6" width="58.5"/>
    <col customWidth="1" min="7" max="7" width="24.63"/>
    <col customWidth="1" min="8" max="8" width="42.63"/>
  </cols>
  <sheetData>
    <row r="1">
      <c r="A1" s="1" t="s">
        <v>0</v>
      </c>
      <c r="B1" s="1" t="s">
        <v>1</v>
      </c>
      <c r="C1" s="2" t="s">
        <v>2</v>
      </c>
      <c r="D1" s="2" t="s">
        <v>3</v>
      </c>
      <c r="E1" s="1" t="s">
        <v>4</v>
      </c>
      <c r="F1" s="1" t="s">
        <v>5</v>
      </c>
      <c r="G1" s="3" t="s">
        <v>6</v>
      </c>
      <c r="H1" s="1" t="s">
        <v>7</v>
      </c>
      <c r="I1" s="4"/>
      <c r="J1" s="5"/>
      <c r="K1" s="5"/>
      <c r="L1" s="5"/>
      <c r="M1" s="5"/>
      <c r="N1" s="5"/>
      <c r="O1" s="5"/>
      <c r="P1" s="5"/>
      <c r="Q1" s="5"/>
      <c r="R1" s="5"/>
      <c r="S1" s="5"/>
      <c r="T1" s="5"/>
      <c r="U1" s="5"/>
      <c r="V1" s="5"/>
      <c r="W1" s="5"/>
      <c r="X1" s="5"/>
      <c r="Y1" s="5"/>
      <c r="Z1" s="5"/>
      <c r="AA1" s="5"/>
    </row>
    <row r="2">
      <c r="A2" s="6" t="s">
        <v>8</v>
      </c>
      <c r="B2" s="6" t="s">
        <v>9</v>
      </c>
      <c r="C2" s="6" t="s">
        <v>10</v>
      </c>
      <c r="D2" s="7" t="s">
        <v>11</v>
      </c>
      <c r="E2" s="7" t="s">
        <v>12</v>
      </c>
      <c r="F2" s="8" t="s">
        <v>13</v>
      </c>
      <c r="G2" s="9">
        <v>5.0</v>
      </c>
      <c r="H2" s="7" t="s">
        <v>14</v>
      </c>
      <c r="I2" s="10"/>
    </row>
    <row r="3">
      <c r="A3" s="11" t="s">
        <v>8</v>
      </c>
      <c r="B3" s="11" t="s">
        <v>9</v>
      </c>
      <c r="C3" s="11" t="s">
        <v>10</v>
      </c>
      <c r="D3" s="12" t="s">
        <v>15</v>
      </c>
      <c r="E3" s="12" t="s">
        <v>16</v>
      </c>
      <c r="F3" s="13" t="s">
        <v>17</v>
      </c>
      <c r="G3" s="14">
        <v>21.0</v>
      </c>
      <c r="H3" s="12" t="s">
        <v>18</v>
      </c>
      <c r="I3" s="15"/>
    </row>
    <row r="4">
      <c r="A4" s="6" t="s">
        <v>8</v>
      </c>
      <c r="B4" s="6" t="s">
        <v>9</v>
      </c>
      <c r="C4" s="6" t="s">
        <v>10</v>
      </c>
      <c r="D4" s="7" t="s">
        <v>15</v>
      </c>
      <c r="E4" s="7" t="s">
        <v>19</v>
      </c>
      <c r="F4" s="8" t="s">
        <v>20</v>
      </c>
      <c r="G4" s="9">
        <v>29.0</v>
      </c>
      <c r="H4" s="7" t="s">
        <v>21</v>
      </c>
      <c r="I4" s="10"/>
    </row>
    <row r="5">
      <c r="A5" s="11" t="s">
        <v>8</v>
      </c>
      <c r="B5" s="11" t="s">
        <v>9</v>
      </c>
      <c r="C5" s="11" t="s">
        <v>10</v>
      </c>
      <c r="D5" s="12" t="s">
        <v>22</v>
      </c>
      <c r="E5" s="12" t="s">
        <v>23</v>
      </c>
      <c r="F5" s="13" t="s">
        <v>24</v>
      </c>
      <c r="G5" s="14">
        <v>31.0</v>
      </c>
      <c r="H5" s="12" t="s">
        <v>25</v>
      </c>
      <c r="I5" s="15"/>
    </row>
    <row r="6">
      <c r="A6" s="6" t="s">
        <v>8</v>
      </c>
      <c r="B6" s="6" t="s">
        <v>9</v>
      </c>
      <c r="C6" s="6" t="s">
        <v>10</v>
      </c>
      <c r="D6" s="7" t="s">
        <v>26</v>
      </c>
      <c r="E6" s="7" t="s">
        <v>27</v>
      </c>
      <c r="F6" s="8" t="s">
        <v>28</v>
      </c>
      <c r="G6" s="9">
        <v>39.0</v>
      </c>
      <c r="H6" s="7" t="s">
        <v>29</v>
      </c>
      <c r="I6" s="10"/>
    </row>
    <row r="7">
      <c r="A7" s="11" t="s">
        <v>8</v>
      </c>
      <c r="B7" s="11" t="s">
        <v>9</v>
      </c>
      <c r="C7" s="11" t="s">
        <v>30</v>
      </c>
      <c r="D7" s="12" t="s">
        <v>31</v>
      </c>
      <c r="E7" s="12" t="s">
        <v>32</v>
      </c>
      <c r="F7" s="13" t="s">
        <v>33</v>
      </c>
      <c r="G7" s="14" t="s">
        <v>34</v>
      </c>
      <c r="H7" s="12" t="s">
        <v>35</v>
      </c>
      <c r="I7" s="15"/>
    </row>
    <row r="8">
      <c r="A8" s="6" t="s">
        <v>8</v>
      </c>
      <c r="B8" s="6" t="s">
        <v>9</v>
      </c>
      <c r="C8" s="6" t="s">
        <v>30</v>
      </c>
      <c r="D8" s="7" t="s">
        <v>36</v>
      </c>
      <c r="E8" s="7" t="s">
        <v>37</v>
      </c>
      <c r="F8" s="8" t="s">
        <v>38</v>
      </c>
      <c r="G8" s="9" t="s">
        <v>39</v>
      </c>
      <c r="H8" s="7" t="s">
        <v>40</v>
      </c>
      <c r="I8" s="10"/>
    </row>
    <row r="9">
      <c r="A9" s="11" t="s">
        <v>8</v>
      </c>
      <c r="B9" s="11" t="s">
        <v>9</v>
      </c>
      <c r="C9" s="11" t="s">
        <v>30</v>
      </c>
      <c r="D9" s="12" t="s">
        <v>41</v>
      </c>
      <c r="E9" s="12" t="s">
        <v>42</v>
      </c>
      <c r="F9" s="13" t="s">
        <v>43</v>
      </c>
      <c r="G9" s="14">
        <v>71.0</v>
      </c>
      <c r="H9" s="12" t="s">
        <v>44</v>
      </c>
      <c r="I9" s="15"/>
    </row>
    <row r="10">
      <c r="A10" s="6" t="s">
        <v>8</v>
      </c>
      <c r="B10" s="6" t="s">
        <v>9</v>
      </c>
      <c r="C10" s="6" t="s">
        <v>30</v>
      </c>
      <c r="D10" s="7" t="s">
        <v>45</v>
      </c>
      <c r="E10" s="7" t="s">
        <v>46</v>
      </c>
      <c r="F10" s="8" t="s">
        <v>47</v>
      </c>
      <c r="G10" s="9" t="s">
        <v>48</v>
      </c>
      <c r="H10" s="7" t="s">
        <v>49</v>
      </c>
      <c r="I10" s="10"/>
    </row>
    <row r="11">
      <c r="A11" s="11" t="s">
        <v>8</v>
      </c>
      <c r="B11" s="11" t="s">
        <v>9</v>
      </c>
      <c r="C11" s="11" t="s">
        <v>10</v>
      </c>
      <c r="D11" s="12" t="s">
        <v>50</v>
      </c>
      <c r="E11" s="12" t="s">
        <v>51</v>
      </c>
      <c r="F11" s="13" t="s">
        <v>52</v>
      </c>
      <c r="G11" s="14">
        <v>87.0</v>
      </c>
      <c r="H11" s="12" t="s">
        <v>53</v>
      </c>
      <c r="I11" s="15"/>
    </row>
    <row r="12">
      <c r="A12" s="6" t="s">
        <v>8</v>
      </c>
      <c r="B12" s="6" t="s">
        <v>9</v>
      </c>
      <c r="C12" s="6" t="s">
        <v>30</v>
      </c>
      <c r="D12" s="7" t="s">
        <v>54</v>
      </c>
      <c r="E12" s="7" t="s">
        <v>55</v>
      </c>
      <c r="F12" s="8" t="s">
        <v>56</v>
      </c>
      <c r="G12" s="9" t="s">
        <v>57</v>
      </c>
      <c r="H12" s="7" t="s">
        <v>58</v>
      </c>
      <c r="I12" s="10"/>
    </row>
    <row r="13">
      <c r="A13" s="11" t="s">
        <v>8</v>
      </c>
      <c r="B13" s="11" t="s">
        <v>9</v>
      </c>
      <c r="C13" s="11" t="s">
        <v>30</v>
      </c>
      <c r="D13" s="12" t="s">
        <v>59</v>
      </c>
      <c r="E13" s="12" t="s">
        <v>60</v>
      </c>
      <c r="F13" s="13" t="s">
        <v>61</v>
      </c>
      <c r="G13" s="14" t="s">
        <v>62</v>
      </c>
      <c r="H13" s="12" t="s">
        <v>63</v>
      </c>
      <c r="I13" s="15"/>
    </row>
    <row r="14">
      <c r="A14" s="6" t="s">
        <v>8</v>
      </c>
      <c r="B14" s="6" t="s">
        <v>9</v>
      </c>
      <c r="C14" s="6" t="s">
        <v>10</v>
      </c>
      <c r="D14" s="7" t="s">
        <v>64</v>
      </c>
      <c r="E14" s="7" t="s">
        <v>65</v>
      </c>
      <c r="F14" s="8" t="s">
        <v>66</v>
      </c>
      <c r="G14" s="9" t="s">
        <v>67</v>
      </c>
      <c r="H14" s="7" t="s">
        <v>68</v>
      </c>
      <c r="I14" s="10"/>
    </row>
    <row r="15">
      <c r="A15" s="11" t="s">
        <v>69</v>
      </c>
      <c r="B15" s="11" t="s">
        <v>70</v>
      </c>
      <c r="C15" s="11" t="s">
        <v>30</v>
      </c>
      <c r="D15" s="12" t="s">
        <v>71</v>
      </c>
      <c r="E15" s="12" t="s">
        <v>72</v>
      </c>
      <c r="F15" s="13" t="s">
        <v>73</v>
      </c>
      <c r="G15" s="14" t="s">
        <v>74</v>
      </c>
      <c r="H15" s="12" t="s">
        <v>75</v>
      </c>
      <c r="I15" s="15"/>
    </row>
    <row r="16">
      <c r="A16" s="6" t="s">
        <v>69</v>
      </c>
      <c r="B16" s="6" t="s">
        <v>70</v>
      </c>
      <c r="C16" s="6" t="s">
        <v>30</v>
      </c>
      <c r="D16" s="7" t="s">
        <v>71</v>
      </c>
      <c r="E16" s="7" t="s">
        <v>72</v>
      </c>
      <c r="F16" s="8" t="s">
        <v>76</v>
      </c>
      <c r="G16" s="9" t="s">
        <v>77</v>
      </c>
      <c r="H16" s="7" t="s">
        <v>75</v>
      </c>
      <c r="I16" s="10"/>
    </row>
    <row r="17">
      <c r="A17" s="11" t="s">
        <v>69</v>
      </c>
      <c r="B17" s="11" t="s">
        <v>70</v>
      </c>
      <c r="C17" s="11" t="s">
        <v>30</v>
      </c>
      <c r="D17" s="12" t="s">
        <v>71</v>
      </c>
      <c r="E17" s="16" t="s">
        <v>78</v>
      </c>
      <c r="F17" s="13" t="s">
        <v>79</v>
      </c>
      <c r="G17" s="14" t="s">
        <v>80</v>
      </c>
      <c r="H17" s="12"/>
      <c r="I17" s="15"/>
    </row>
    <row r="18">
      <c r="A18" s="6" t="s">
        <v>69</v>
      </c>
      <c r="B18" s="6" t="s">
        <v>70</v>
      </c>
      <c r="C18" s="6" t="s">
        <v>10</v>
      </c>
      <c r="D18" s="17" t="s">
        <v>81</v>
      </c>
      <c r="E18" s="17" t="s">
        <v>82</v>
      </c>
      <c r="F18" s="8" t="s">
        <v>79</v>
      </c>
      <c r="G18" s="18" t="s">
        <v>83</v>
      </c>
      <c r="H18" s="17" t="s">
        <v>84</v>
      </c>
      <c r="I18" s="19"/>
      <c r="J18" s="20"/>
      <c r="K18" s="20"/>
      <c r="L18" s="20"/>
      <c r="M18" s="20"/>
      <c r="N18" s="20"/>
      <c r="O18" s="20"/>
      <c r="P18" s="20"/>
      <c r="Q18" s="20"/>
      <c r="R18" s="20"/>
      <c r="S18" s="20"/>
      <c r="T18" s="20"/>
      <c r="U18" s="20"/>
      <c r="V18" s="20"/>
      <c r="W18" s="20"/>
      <c r="X18" s="20"/>
      <c r="Y18" s="20"/>
      <c r="Z18" s="20"/>
      <c r="AA18" s="20"/>
    </row>
    <row r="19">
      <c r="A19" s="11" t="s">
        <v>69</v>
      </c>
      <c r="B19" s="11" t="s">
        <v>70</v>
      </c>
      <c r="C19" s="11" t="s">
        <v>30</v>
      </c>
      <c r="D19" s="12" t="s">
        <v>71</v>
      </c>
      <c r="E19" s="12" t="s">
        <v>85</v>
      </c>
      <c r="F19" s="13" t="s">
        <v>79</v>
      </c>
      <c r="G19" s="14" t="s">
        <v>86</v>
      </c>
      <c r="H19" s="12" t="s">
        <v>87</v>
      </c>
      <c r="I19" s="15"/>
    </row>
    <row r="20">
      <c r="A20" s="6" t="s">
        <v>69</v>
      </c>
      <c r="B20" s="6" t="s">
        <v>70</v>
      </c>
      <c r="C20" s="6" t="s">
        <v>30</v>
      </c>
      <c r="D20" s="7" t="s">
        <v>88</v>
      </c>
      <c r="E20" s="7" t="s">
        <v>89</v>
      </c>
      <c r="F20" s="8" t="s">
        <v>90</v>
      </c>
      <c r="G20" s="9" t="s">
        <v>91</v>
      </c>
      <c r="H20" s="7" t="s">
        <v>92</v>
      </c>
      <c r="I20" s="10"/>
    </row>
    <row r="21">
      <c r="A21" s="11" t="s">
        <v>69</v>
      </c>
      <c r="B21" s="11" t="s">
        <v>70</v>
      </c>
      <c r="C21" s="11" t="s">
        <v>30</v>
      </c>
      <c r="D21" s="12" t="s">
        <v>71</v>
      </c>
      <c r="E21" s="12" t="s">
        <v>93</v>
      </c>
      <c r="F21" s="13" t="s">
        <v>73</v>
      </c>
      <c r="G21" s="14" t="s">
        <v>94</v>
      </c>
      <c r="H21" s="12" t="s">
        <v>95</v>
      </c>
      <c r="I21" s="15"/>
    </row>
    <row r="22">
      <c r="A22" s="6" t="s">
        <v>69</v>
      </c>
      <c r="B22" s="6" t="s">
        <v>70</v>
      </c>
      <c r="C22" s="6" t="s">
        <v>30</v>
      </c>
      <c r="D22" s="7" t="s">
        <v>71</v>
      </c>
      <c r="E22" s="7" t="s">
        <v>96</v>
      </c>
      <c r="F22" s="8" t="s">
        <v>76</v>
      </c>
      <c r="G22" s="9">
        <v>179.0</v>
      </c>
      <c r="H22" s="7" t="s">
        <v>97</v>
      </c>
      <c r="I22" s="10"/>
    </row>
    <row r="23">
      <c r="A23" s="11" t="s">
        <v>69</v>
      </c>
      <c r="B23" s="11" t="s">
        <v>70</v>
      </c>
      <c r="C23" s="11" t="s">
        <v>10</v>
      </c>
      <c r="D23" s="12" t="s">
        <v>98</v>
      </c>
      <c r="E23" s="12" t="s">
        <v>99</v>
      </c>
      <c r="F23" s="13" t="s">
        <v>100</v>
      </c>
      <c r="G23" s="14" t="s">
        <v>101</v>
      </c>
      <c r="H23" s="12" t="s">
        <v>102</v>
      </c>
      <c r="I23" s="15"/>
    </row>
    <row r="24">
      <c r="A24" s="6" t="s">
        <v>69</v>
      </c>
      <c r="B24" s="6" t="s">
        <v>70</v>
      </c>
      <c r="C24" s="6" t="s">
        <v>10</v>
      </c>
      <c r="D24" s="7" t="s">
        <v>103</v>
      </c>
      <c r="E24" s="7" t="s">
        <v>104</v>
      </c>
      <c r="F24" s="8" t="s">
        <v>100</v>
      </c>
      <c r="G24" s="9" t="s">
        <v>105</v>
      </c>
      <c r="H24" s="7" t="s">
        <v>102</v>
      </c>
      <c r="I24" s="10"/>
    </row>
    <row r="25">
      <c r="A25" s="11" t="s">
        <v>69</v>
      </c>
      <c r="B25" s="11" t="s">
        <v>70</v>
      </c>
      <c r="C25" s="11" t="s">
        <v>10</v>
      </c>
      <c r="D25" s="12" t="s">
        <v>106</v>
      </c>
      <c r="E25" s="12" t="s">
        <v>107</v>
      </c>
      <c r="F25" s="13" t="s">
        <v>100</v>
      </c>
      <c r="G25" s="14">
        <v>41.0</v>
      </c>
      <c r="H25" s="12" t="s">
        <v>102</v>
      </c>
      <c r="I25" s="15"/>
    </row>
    <row r="26">
      <c r="A26" s="6"/>
      <c r="B26" s="6"/>
      <c r="C26" s="6"/>
      <c r="D26" s="7"/>
      <c r="E26" s="7"/>
      <c r="F26" s="8"/>
      <c r="G26" s="9"/>
      <c r="H26" s="7"/>
      <c r="I26" s="10"/>
    </row>
    <row r="27">
      <c r="A27" s="11"/>
      <c r="B27" s="11"/>
      <c r="C27" s="11"/>
      <c r="D27" s="12"/>
      <c r="E27" s="12"/>
      <c r="F27" s="13"/>
      <c r="G27" s="14"/>
      <c r="H27" s="12"/>
      <c r="I27" s="15"/>
    </row>
    <row r="28">
      <c r="A28" s="6"/>
      <c r="B28" s="6"/>
      <c r="C28" s="6"/>
      <c r="D28" s="21"/>
      <c r="E28" s="22"/>
      <c r="F28" s="22"/>
      <c r="G28" s="23"/>
      <c r="H28" s="22"/>
      <c r="I28" s="10"/>
    </row>
    <row r="29">
      <c r="A29" s="11"/>
      <c r="B29" s="11"/>
      <c r="C29" s="11"/>
      <c r="D29" s="24"/>
      <c r="E29" s="25"/>
      <c r="F29" s="25"/>
      <c r="G29" s="26"/>
      <c r="H29" s="25"/>
      <c r="I29" s="15"/>
    </row>
    <row r="30">
      <c r="A30" s="6"/>
      <c r="B30" s="6"/>
      <c r="C30" s="6"/>
      <c r="D30" s="21"/>
      <c r="E30" s="22"/>
      <c r="F30" s="22"/>
      <c r="G30" s="23"/>
      <c r="H30" s="22"/>
      <c r="I30" s="10"/>
    </row>
    <row r="31">
      <c r="A31" s="11"/>
      <c r="B31" s="11"/>
      <c r="C31" s="11"/>
      <c r="D31" s="24"/>
      <c r="E31" s="25"/>
      <c r="F31" s="25"/>
      <c r="G31" s="26"/>
      <c r="H31" s="25"/>
      <c r="I31" s="15"/>
    </row>
    <row r="32">
      <c r="A32" s="6"/>
      <c r="B32" s="6"/>
      <c r="C32" s="6"/>
      <c r="D32" s="21"/>
      <c r="E32" s="22"/>
      <c r="F32" s="22"/>
      <c r="G32" s="23"/>
      <c r="H32" s="22"/>
      <c r="I32" s="10"/>
    </row>
    <row r="33">
      <c r="A33" s="11"/>
      <c r="B33" s="11"/>
      <c r="C33" s="11"/>
      <c r="D33" s="24"/>
      <c r="E33" s="25"/>
      <c r="F33" s="25"/>
      <c r="G33" s="26"/>
      <c r="H33" s="25"/>
      <c r="I33" s="15"/>
    </row>
    <row r="34">
      <c r="A34" s="6"/>
      <c r="B34" s="6"/>
      <c r="C34" s="6"/>
      <c r="D34" s="21"/>
      <c r="E34" s="22"/>
      <c r="F34" s="22"/>
      <c r="G34" s="23"/>
      <c r="H34" s="22"/>
      <c r="I34" s="10"/>
    </row>
    <row r="35">
      <c r="A35" s="11"/>
      <c r="B35" s="11"/>
      <c r="C35" s="11"/>
      <c r="D35" s="24"/>
      <c r="E35" s="25"/>
      <c r="F35" s="25"/>
      <c r="G35" s="26"/>
      <c r="H35" s="25"/>
      <c r="I35" s="15"/>
    </row>
    <row r="36">
      <c r="A36" s="6"/>
      <c r="B36" s="6"/>
      <c r="C36" s="6"/>
      <c r="D36" s="21"/>
      <c r="E36" s="22"/>
      <c r="F36" s="22"/>
      <c r="G36" s="23"/>
      <c r="H36" s="22"/>
      <c r="I36" s="10"/>
    </row>
    <row r="37">
      <c r="A37" s="11"/>
      <c r="B37" s="11"/>
      <c r="C37" s="11"/>
      <c r="D37" s="24"/>
      <c r="E37" s="25"/>
      <c r="F37" s="25"/>
      <c r="G37" s="26"/>
      <c r="H37" s="25"/>
      <c r="I37" s="15"/>
    </row>
    <row r="38">
      <c r="A38" s="6"/>
      <c r="B38" s="6"/>
      <c r="C38" s="6"/>
      <c r="D38" s="21"/>
      <c r="E38" s="22"/>
      <c r="F38" s="22"/>
      <c r="G38" s="23"/>
      <c r="H38" s="22"/>
      <c r="I38" s="10"/>
    </row>
    <row r="39">
      <c r="A39" s="11"/>
      <c r="B39" s="11"/>
      <c r="C39" s="11"/>
      <c r="D39" s="24"/>
      <c r="E39" s="25"/>
      <c r="F39" s="25"/>
      <c r="G39" s="26"/>
      <c r="H39" s="25"/>
      <c r="I39" s="15"/>
    </row>
    <row r="40">
      <c r="A40" s="6"/>
      <c r="B40" s="6"/>
      <c r="C40" s="6"/>
      <c r="D40" s="21"/>
      <c r="E40" s="22"/>
      <c r="F40" s="22"/>
      <c r="G40" s="23"/>
      <c r="H40" s="22"/>
      <c r="I40" s="10"/>
    </row>
    <row r="41">
      <c r="A41" s="11"/>
      <c r="B41" s="11"/>
      <c r="C41" s="11"/>
      <c r="D41" s="24"/>
      <c r="E41" s="25"/>
      <c r="F41" s="25"/>
      <c r="G41" s="26"/>
      <c r="H41" s="25"/>
      <c r="I41" s="15"/>
    </row>
    <row r="42">
      <c r="A42" s="6"/>
      <c r="B42" s="6"/>
      <c r="C42" s="6"/>
      <c r="D42" s="21"/>
      <c r="E42" s="22"/>
      <c r="F42" s="22"/>
      <c r="G42" s="23"/>
      <c r="H42" s="22"/>
      <c r="I42" s="10"/>
    </row>
    <row r="43">
      <c r="A43" s="11"/>
      <c r="B43" s="11"/>
      <c r="C43" s="11"/>
      <c r="D43" s="24"/>
      <c r="E43" s="25"/>
      <c r="F43" s="25"/>
      <c r="G43" s="26"/>
      <c r="H43" s="25"/>
      <c r="I43" s="15"/>
    </row>
    <row r="44">
      <c r="A44" s="6"/>
      <c r="B44" s="6"/>
      <c r="C44" s="6"/>
      <c r="D44" s="21"/>
      <c r="E44" s="22"/>
      <c r="F44" s="22"/>
      <c r="G44" s="23"/>
      <c r="H44" s="22"/>
      <c r="I44" s="10"/>
    </row>
    <row r="45">
      <c r="A45" s="11"/>
      <c r="B45" s="11"/>
      <c r="C45" s="11"/>
      <c r="D45" s="24"/>
      <c r="E45" s="25"/>
      <c r="F45" s="25"/>
      <c r="G45" s="26"/>
      <c r="H45" s="25"/>
      <c r="I45" s="15"/>
    </row>
    <row r="46">
      <c r="A46" s="6"/>
      <c r="B46" s="6"/>
      <c r="C46" s="6"/>
      <c r="D46" s="21"/>
      <c r="E46" s="22"/>
      <c r="F46" s="22"/>
      <c r="G46" s="23"/>
      <c r="H46" s="22"/>
      <c r="I46" s="10"/>
    </row>
    <row r="47">
      <c r="A47" s="11"/>
      <c r="B47" s="11"/>
      <c r="C47" s="11"/>
      <c r="D47" s="24"/>
      <c r="E47" s="25"/>
      <c r="F47" s="25"/>
      <c r="G47" s="26"/>
      <c r="H47" s="25"/>
      <c r="I47" s="15"/>
    </row>
    <row r="48">
      <c r="A48" s="6"/>
      <c r="B48" s="6"/>
      <c r="C48" s="6"/>
      <c r="D48" s="21"/>
      <c r="E48" s="22"/>
      <c r="F48" s="22"/>
      <c r="G48" s="23"/>
      <c r="H48" s="22"/>
      <c r="I48" s="10"/>
    </row>
    <row r="49">
      <c r="A49" s="11"/>
      <c r="B49" s="11"/>
      <c r="C49" s="11"/>
      <c r="D49" s="24"/>
      <c r="E49" s="25"/>
      <c r="F49" s="25"/>
      <c r="G49" s="26"/>
      <c r="H49" s="25"/>
      <c r="I49" s="15"/>
    </row>
    <row r="50">
      <c r="A50" s="6"/>
      <c r="B50" s="6"/>
      <c r="C50" s="6"/>
      <c r="D50" s="21"/>
      <c r="E50" s="22"/>
      <c r="F50" s="22"/>
      <c r="G50" s="23"/>
      <c r="H50" s="22"/>
      <c r="I50" s="10"/>
    </row>
    <row r="51">
      <c r="A51" s="11"/>
      <c r="B51" s="11"/>
      <c r="C51" s="11"/>
      <c r="D51" s="24"/>
      <c r="E51" s="25"/>
      <c r="F51" s="25"/>
      <c r="G51" s="26"/>
      <c r="H51" s="25"/>
      <c r="I51" s="15"/>
    </row>
    <row r="52">
      <c r="A52" s="6"/>
      <c r="B52" s="6"/>
      <c r="C52" s="6"/>
      <c r="D52" s="21"/>
      <c r="E52" s="22"/>
      <c r="F52" s="22"/>
      <c r="G52" s="23"/>
      <c r="H52" s="22"/>
      <c r="I52" s="10"/>
    </row>
    <row r="53">
      <c r="A53" s="11"/>
      <c r="B53" s="11"/>
      <c r="C53" s="11"/>
      <c r="D53" s="24"/>
      <c r="E53" s="25"/>
      <c r="F53" s="25"/>
      <c r="G53" s="26"/>
      <c r="H53" s="25"/>
      <c r="I53" s="15"/>
    </row>
    <row r="54">
      <c r="A54" s="6"/>
      <c r="B54" s="6"/>
      <c r="C54" s="6"/>
      <c r="D54" s="21"/>
      <c r="E54" s="22"/>
      <c r="F54" s="22"/>
      <c r="G54" s="23"/>
      <c r="H54" s="22"/>
      <c r="I54" s="10"/>
    </row>
    <row r="55">
      <c r="A55" s="11"/>
      <c r="B55" s="11"/>
      <c r="C55" s="11"/>
      <c r="D55" s="24"/>
      <c r="E55" s="25"/>
      <c r="F55" s="25"/>
      <c r="G55" s="26"/>
      <c r="H55" s="25"/>
      <c r="I55" s="15"/>
    </row>
    <row r="56">
      <c r="A56" s="6"/>
      <c r="B56" s="6"/>
      <c r="C56" s="6"/>
      <c r="D56" s="21"/>
      <c r="E56" s="22"/>
      <c r="F56" s="22"/>
      <c r="G56" s="23"/>
      <c r="H56" s="22"/>
      <c r="I56" s="10"/>
    </row>
    <row r="57">
      <c r="A57" s="11"/>
      <c r="B57" s="11"/>
      <c r="C57" s="11"/>
      <c r="D57" s="24"/>
      <c r="E57" s="25"/>
      <c r="F57" s="25"/>
      <c r="G57" s="26"/>
      <c r="H57" s="25"/>
      <c r="I57" s="15"/>
    </row>
    <row r="58">
      <c r="A58" s="6"/>
      <c r="B58" s="6"/>
      <c r="C58" s="6"/>
      <c r="D58" s="21"/>
      <c r="E58" s="22"/>
      <c r="F58" s="22"/>
      <c r="G58" s="23"/>
      <c r="H58" s="22"/>
      <c r="I58" s="10"/>
    </row>
    <row r="59">
      <c r="A59" s="11"/>
      <c r="B59" s="11"/>
      <c r="C59" s="11"/>
      <c r="D59" s="24"/>
      <c r="E59" s="25"/>
      <c r="F59" s="25"/>
      <c r="G59" s="26"/>
      <c r="H59" s="25"/>
      <c r="I59" s="15"/>
    </row>
    <row r="60">
      <c r="A60" s="6"/>
      <c r="B60" s="6"/>
      <c r="C60" s="6"/>
      <c r="D60" s="21"/>
      <c r="E60" s="22"/>
      <c r="F60" s="22"/>
      <c r="G60" s="23"/>
      <c r="H60" s="22"/>
      <c r="I60" s="10"/>
    </row>
    <row r="61">
      <c r="A61" s="11"/>
      <c r="B61" s="11"/>
      <c r="C61" s="11"/>
      <c r="D61" s="24"/>
      <c r="E61" s="25"/>
      <c r="F61" s="25"/>
      <c r="G61" s="26"/>
      <c r="H61" s="25"/>
      <c r="I61" s="15"/>
    </row>
    <row r="62">
      <c r="A62" s="6"/>
      <c r="B62" s="6"/>
      <c r="C62" s="6"/>
      <c r="D62" s="21"/>
      <c r="E62" s="22"/>
      <c r="F62" s="22"/>
      <c r="G62" s="23"/>
      <c r="H62" s="22"/>
      <c r="I62" s="10"/>
    </row>
    <row r="63">
      <c r="A63" s="11"/>
      <c r="B63" s="11"/>
      <c r="C63" s="11"/>
      <c r="D63" s="24"/>
      <c r="E63" s="25"/>
      <c r="F63" s="25"/>
      <c r="G63" s="26"/>
      <c r="H63" s="25"/>
      <c r="I63" s="15"/>
    </row>
    <row r="64">
      <c r="A64" s="6"/>
      <c r="B64" s="6"/>
      <c r="C64" s="6"/>
      <c r="D64" s="21"/>
      <c r="E64" s="22"/>
      <c r="F64" s="22"/>
      <c r="G64" s="23"/>
      <c r="H64" s="22"/>
      <c r="I64" s="10"/>
    </row>
    <row r="65">
      <c r="A65" s="11"/>
      <c r="B65" s="11"/>
      <c r="C65" s="11"/>
      <c r="D65" s="24"/>
      <c r="E65" s="25"/>
      <c r="F65" s="25"/>
      <c r="G65" s="26"/>
      <c r="H65" s="25"/>
      <c r="I65" s="15"/>
    </row>
    <row r="66">
      <c r="A66" s="6"/>
      <c r="B66" s="6"/>
      <c r="C66" s="6"/>
      <c r="D66" s="21"/>
      <c r="E66" s="22"/>
      <c r="F66" s="22"/>
      <c r="G66" s="23"/>
      <c r="H66" s="22"/>
      <c r="I66" s="10"/>
    </row>
    <row r="67">
      <c r="A67" s="11"/>
      <c r="B67" s="11"/>
      <c r="C67" s="11"/>
      <c r="D67" s="24"/>
      <c r="E67" s="25"/>
      <c r="F67" s="25"/>
      <c r="G67" s="26"/>
      <c r="H67" s="25"/>
      <c r="I67" s="15"/>
    </row>
    <row r="68">
      <c r="A68" s="6"/>
      <c r="B68" s="6"/>
      <c r="C68" s="6"/>
      <c r="D68" s="21"/>
      <c r="E68" s="22"/>
      <c r="F68" s="22"/>
      <c r="G68" s="23"/>
      <c r="H68" s="22"/>
      <c r="I68" s="10"/>
    </row>
    <row r="69">
      <c r="A69" s="11"/>
      <c r="B69" s="11"/>
      <c r="C69" s="11"/>
      <c r="D69" s="24"/>
      <c r="E69" s="25"/>
      <c r="F69" s="25"/>
      <c r="G69" s="26"/>
      <c r="H69" s="25"/>
      <c r="I69" s="15"/>
    </row>
    <row r="70">
      <c r="A70" s="6"/>
      <c r="B70" s="6"/>
      <c r="C70" s="6"/>
      <c r="D70" s="21"/>
      <c r="E70" s="22"/>
      <c r="F70" s="22"/>
      <c r="G70" s="23"/>
      <c r="H70" s="22"/>
      <c r="I70" s="10"/>
    </row>
    <row r="71">
      <c r="A71" s="11"/>
      <c r="B71" s="11"/>
      <c r="C71" s="11"/>
      <c r="D71" s="24"/>
      <c r="E71" s="25"/>
      <c r="F71" s="25"/>
      <c r="G71" s="26"/>
      <c r="H71" s="25"/>
      <c r="I71" s="15"/>
    </row>
    <row r="72">
      <c r="A72" s="6"/>
      <c r="B72" s="6"/>
      <c r="C72" s="6"/>
      <c r="D72" s="21"/>
      <c r="E72" s="22"/>
      <c r="F72" s="22"/>
      <c r="G72" s="23"/>
      <c r="H72" s="22"/>
      <c r="I72" s="10"/>
    </row>
    <row r="73">
      <c r="A73" s="11"/>
      <c r="B73" s="11"/>
      <c r="C73" s="11"/>
      <c r="D73" s="24"/>
      <c r="E73" s="25"/>
      <c r="F73" s="25"/>
      <c r="G73" s="26"/>
      <c r="H73" s="25"/>
      <c r="I73" s="15"/>
    </row>
    <row r="74">
      <c r="A74" s="6"/>
      <c r="B74" s="6"/>
      <c r="C74" s="6"/>
      <c r="D74" s="21"/>
      <c r="E74" s="22"/>
      <c r="F74" s="22"/>
      <c r="G74" s="23"/>
      <c r="H74" s="22"/>
      <c r="I74" s="10"/>
    </row>
    <row r="75">
      <c r="A75" s="11"/>
      <c r="B75" s="11"/>
      <c r="C75" s="11"/>
      <c r="D75" s="24"/>
      <c r="E75" s="25"/>
      <c r="F75" s="25"/>
      <c r="G75" s="26"/>
      <c r="H75" s="25"/>
      <c r="I75" s="15"/>
    </row>
    <row r="76">
      <c r="A76" s="6"/>
      <c r="B76" s="6"/>
      <c r="C76" s="6"/>
      <c r="D76" s="21"/>
      <c r="E76" s="22"/>
      <c r="F76" s="22"/>
      <c r="G76" s="23"/>
      <c r="H76" s="22"/>
      <c r="I76" s="10"/>
    </row>
    <row r="77">
      <c r="A77" s="11"/>
      <c r="B77" s="11"/>
      <c r="C77" s="11"/>
      <c r="D77" s="24"/>
      <c r="E77" s="25"/>
      <c r="F77" s="25"/>
      <c r="G77" s="26"/>
      <c r="H77" s="25"/>
      <c r="I77" s="15"/>
    </row>
    <row r="78">
      <c r="A78" s="6"/>
      <c r="B78" s="6"/>
      <c r="C78" s="6"/>
      <c r="D78" s="21"/>
      <c r="E78" s="22"/>
      <c r="F78" s="22"/>
      <c r="G78" s="23"/>
      <c r="H78" s="22"/>
      <c r="I78" s="10"/>
    </row>
    <row r="79">
      <c r="A79" s="11"/>
      <c r="B79" s="11"/>
      <c r="C79" s="11"/>
      <c r="D79" s="24"/>
      <c r="E79" s="25"/>
      <c r="F79" s="25"/>
      <c r="G79" s="26"/>
      <c r="H79" s="25"/>
      <c r="I79" s="15"/>
    </row>
    <row r="80">
      <c r="A80" s="6"/>
      <c r="B80" s="6"/>
      <c r="C80" s="6"/>
      <c r="D80" s="21"/>
      <c r="E80" s="22"/>
      <c r="F80" s="22"/>
      <c r="G80" s="23"/>
      <c r="H80" s="22"/>
      <c r="I80" s="10"/>
    </row>
    <row r="81">
      <c r="A81" s="11"/>
      <c r="B81" s="11"/>
      <c r="C81" s="11"/>
      <c r="D81" s="24"/>
      <c r="E81" s="25"/>
      <c r="F81" s="25"/>
      <c r="G81" s="26"/>
      <c r="H81" s="25"/>
      <c r="I81" s="15"/>
    </row>
    <row r="82">
      <c r="A82" s="6"/>
      <c r="B82" s="6"/>
      <c r="C82" s="6"/>
      <c r="D82" s="21"/>
      <c r="E82" s="22"/>
      <c r="F82" s="22"/>
      <c r="G82" s="23"/>
      <c r="H82" s="22"/>
      <c r="I82" s="10"/>
    </row>
    <row r="83">
      <c r="A83" s="11"/>
      <c r="B83" s="11"/>
      <c r="C83" s="11"/>
      <c r="D83" s="24"/>
      <c r="E83" s="25"/>
      <c r="F83" s="25"/>
      <c r="G83" s="26"/>
      <c r="H83" s="25"/>
      <c r="I83" s="15"/>
    </row>
    <row r="84">
      <c r="A84" s="6"/>
      <c r="B84" s="6"/>
      <c r="C84" s="6"/>
      <c r="D84" s="21"/>
      <c r="E84" s="22"/>
      <c r="F84" s="22"/>
      <c r="G84" s="23"/>
      <c r="H84" s="22"/>
      <c r="I84" s="10"/>
    </row>
    <row r="85">
      <c r="A85" s="11"/>
      <c r="B85" s="11"/>
      <c r="C85" s="11"/>
      <c r="D85" s="24"/>
      <c r="E85" s="25"/>
      <c r="F85" s="25"/>
      <c r="G85" s="26"/>
      <c r="H85" s="25"/>
      <c r="I85" s="15"/>
    </row>
    <row r="86">
      <c r="A86" s="6"/>
      <c r="B86" s="6"/>
      <c r="C86" s="6"/>
      <c r="D86" s="21"/>
      <c r="E86" s="22"/>
      <c r="F86" s="22"/>
      <c r="G86" s="23"/>
      <c r="H86" s="22"/>
      <c r="I86" s="10"/>
    </row>
    <row r="87">
      <c r="A87" s="11"/>
      <c r="B87" s="11"/>
      <c r="C87" s="11"/>
      <c r="D87" s="24"/>
      <c r="E87" s="25"/>
      <c r="F87" s="25"/>
      <c r="G87" s="26"/>
      <c r="H87" s="25"/>
      <c r="I87" s="15"/>
    </row>
    <row r="88">
      <c r="A88" s="6"/>
      <c r="B88" s="6"/>
      <c r="C88" s="6"/>
      <c r="D88" s="21"/>
      <c r="E88" s="22"/>
      <c r="F88" s="22"/>
      <c r="G88" s="23"/>
      <c r="H88" s="22"/>
      <c r="I88" s="10"/>
    </row>
    <row r="89">
      <c r="A89" s="11"/>
      <c r="B89" s="11"/>
      <c r="C89" s="11"/>
      <c r="D89" s="24"/>
      <c r="E89" s="25"/>
      <c r="F89" s="25"/>
      <c r="G89" s="26"/>
      <c r="H89" s="25"/>
      <c r="I89" s="15"/>
    </row>
    <row r="90">
      <c r="A90" s="6"/>
      <c r="B90" s="6"/>
      <c r="C90" s="6"/>
      <c r="D90" s="21"/>
      <c r="E90" s="22"/>
      <c r="F90" s="22"/>
      <c r="G90" s="23"/>
      <c r="H90" s="22"/>
      <c r="I90" s="10"/>
    </row>
    <row r="91">
      <c r="A91" s="11"/>
      <c r="B91" s="11"/>
      <c r="C91" s="11"/>
      <c r="D91" s="24"/>
      <c r="E91" s="25"/>
      <c r="F91" s="25"/>
      <c r="G91" s="26"/>
      <c r="H91" s="25"/>
      <c r="I91" s="15"/>
    </row>
    <row r="92">
      <c r="A92" s="6"/>
      <c r="B92" s="6"/>
      <c r="C92" s="6"/>
      <c r="D92" s="21"/>
      <c r="E92" s="22"/>
      <c r="F92" s="22"/>
      <c r="G92" s="23"/>
      <c r="H92" s="22"/>
      <c r="I92" s="10"/>
    </row>
    <row r="93">
      <c r="A93" s="11"/>
      <c r="B93" s="11"/>
      <c r="C93" s="11"/>
      <c r="D93" s="24"/>
      <c r="E93" s="25"/>
      <c r="F93" s="25"/>
      <c r="G93" s="26"/>
      <c r="H93" s="25"/>
      <c r="I93" s="15"/>
    </row>
    <row r="94">
      <c r="A94" s="6"/>
      <c r="B94" s="6"/>
      <c r="C94" s="6"/>
      <c r="D94" s="21"/>
      <c r="E94" s="22"/>
      <c r="F94" s="22"/>
      <c r="G94" s="23"/>
      <c r="H94" s="22"/>
      <c r="I94" s="10"/>
    </row>
    <row r="95">
      <c r="A95" s="11"/>
      <c r="B95" s="11"/>
      <c r="C95" s="11"/>
      <c r="D95" s="24"/>
      <c r="E95" s="25"/>
      <c r="F95" s="25"/>
      <c r="G95" s="26"/>
      <c r="H95" s="25"/>
      <c r="I95" s="15"/>
    </row>
    <row r="96">
      <c r="A96" s="6"/>
      <c r="B96" s="6"/>
      <c r="C96" s="6"/>
      <c r="D96" s="21"/>
      <c r="E96" s="22"/>
      <c r="F96" s="22"/>
      <c r="G96" s="23"/>
      <c r="H96" s="22"/>
      <c r="I96" s="10"/>
    </row>
    <row r="97">
      <c r="A97" s="11"/>
      <c r="B97" s="11"/>
      <c r="C97" s="11"/>
      <c r="D97" s="24"/>
      <c r="E97" s="25"/>
      <c r="F97" s="25"/>
      <c r="G97" s="26"/>
      <c r="H97" s="25"/>
      <c r="I97" s="15"/>
    </row>
    <row r="98">
      <c r="A98" s="6"/>
      <c r="B98" s="6"/>
      <c r="C98" s="6"/>
      <c r="D98" s="21"/>
      <c r="E98" s="22"/>
      <c r="F98" s="22"/>
      <c r="G98" s="23"/>
      <c r="H98" s="22"/>
      <c r="I98" s="10"/>
    </row>
    <row r="99">
      <c r="A99" s="11"/>
      <c r="B99" s="11"/>
      <c r="C99" s="11"/>
      <c r="D99" s="24"/>
      <c r="E99" s="25"/>
      <c r="F99" s="25"/>
      <c r="G99" s="26"/>
      <c r="H99" s="25"/>
      <c r="I99" s="15"/>
    </row>
    <row r="100">
      <c r="A100" s="6"/>
      <c r="B100" s="6"/>
      <c r="C100" s="6"/>
      <c r="D100" s="21"/>
      <c r="E100" s="22"/>
      <c r="F100" s="22"/>
      <c r="G100" s="23"/>
      <c r="H100" s="22"/>
      <c r="I100" s="10"/>
    </row>
    <row r="101">
      <c r="A101" s="11"/>
      <c r="B101" s="11"/>
      <c r="C101" s="11"/>
      <c r="D101" s="24"/>
      <c r="E101" s="25"/>
      <c r="F101" s="25"/>
      <c r="G101" s="26"/>
      <c r="H101" s="25"/>
      <c r="I101" s="15"/>
    </row>
    <row r="102">
      <c r="A102" s="6"/>
      <c r="B102" s="6"/>
      <c r="C102" s="6"/>
      <c r="D102" s="21"/>
      <c r="E102" s="22"/>
      <c r="F102" s="22"/>
      <c r="G102" s="23"/>
      <c r="H102" s="22"/>
      <c r="I102" s="10"/>
    </row>
    <row r="103">
      <c r="A103" s="11"/>
      <c r="B103" s="11"/>
      <c r="C103" s="11"/>
      <c r="D103" s="24"/>
      <c r="E103" s="25"/>
      <c r="F103" s="25"/>
      <c r="G103" s="26"/>
      <c r="H103" s="25"/>
      <c r="I103" s="15"/>
    </row>
    <row r="104">
      <c r="A104" s="6"/>
      <c r="B104" s="6"/>
      <c r="C104" s="6"/>
      <c r="D104" s="21"/>
      <c r="E104" s="22"/>
      <c r="F104" s="22"/>
      <c r="G104" s="23"/>
      <c r="H104" s="22"/>
      <c r="I104" s="10"/>
    </row>
    <row r="105">
      <c r="A105" s="11"/>
      <c r="B105" s="11"/>
      <c r="C105" s="11"/>
      <c r="D105" s="24"/>
      <c r="E105" s="25"/>
      <c r="F105" s="25"/>
      <c r="G105" s="26"/>
      <c r="H105" s="25"/>
      <c r="I105" s="15"/>
    </row>
    <row r="106">
      <c r="A106" s="6"/>
      <c r="B106" s="6"/>
      <c r="C106" s="6"/>
      <c r="D106" s="21"/>
      <c r="E106" s="22"/>
      <c r="F106" s="22"/>
      <c r="G106" s="23"/>
      <c r="H106" s="22"/>
      <c r="I106" s="10"/>
    </row>
    <row r="107">
      <c r="A107" s="11"/>
      <c r="B107" s="11"/>
      <c r="C107" s="11"/>
      <c r="D107" s="24"/>
      <c r="E107" s="25"/>
      <c r="F107" s="25"/>
      <c r="G107" s="26"/>
      <c r="H107" s="25"/>
      <c r="I107" s="15"/>
    </row>
    <row r="108">
      <c r="A108" s="6"/>
      <c r="B108" s="6"/>
      <c r="C108" s="6"/>
      <c r="D108" s="21"/>
      <c r="E108" s="22"/>
      <c r="F108" s="22"/>
      <c r="G108" s="23"/>
      <c r="H108" s="22"/>
      <c r="I108" s="10"/>
    </row>
    <row r="109">
      <c r="A109" s="11"/>
      <c r="B109" s="11"/>
      <c r="C109" s="11"/>
      <c r="D109" s="24"/>
      <c r="E109" s="25"/>
      <c r="F109" s="25"/>
      <c r="G109" s="26"/>
      <c r="H109" s="25"/>
      <c r="I109" s="15"/>
    </row>
    <row r="110">
      <c r="A110" s="6"/>
      <c r="B110" s="6"/>
      <c r="C110" s="6"/>
      <c r="D110" s="21"/>
      <c r="E110" s="22"/>
      <c r="F110" s="22"/>
      <c r="G110" s="23"/>
      <c r="H110" s="22"/>
      <c r="I110" s="10"/>
    </row>
    <row r="111">
      <c r="A111" s="11"/>
      <c r="B111" s="11"/>
      <c r="C111" s="11"/>
      <c r="D111" s="24"/>
      <c r="E111" s="25"/>
      <c r="F111" s="25"/>
      <c r="G111" s="26"/>
      <c r="H111" s="25"/>
      <c r="I111" s="15"/>
    </row>
    <row r="112">
      <c r="A112" s="6"/>
      <c r="B112" s="6"/>
      <c r="C112" s="6"/>
      <c r="D112" s="21"/>
      <c r="E112" s="22"/>
      <c r="F112" s="22"/>
      <c r="G112" s="23"/>
      <c r="H112" s="22"/>
      <c r="I112" s="10"/>
    </row>
    <row r="113">
      <c r="A113" s="11"/>
      <c r="B113" s="11"/>
      <c r="C113" s="11"/>
      <c r="D113" s="24"/>
      <c r="E113" s="25"/>
      <c r="F113" s="25"/>
      <c r="G113" s="26"/>
      <c r="H113" s="25"/>
      <c r="I113" s="15"/>
    </row>
    <row r="114">
      <c r="A114" s="6"/>
      <c r="B114" s="6"/>
      <c r="C114" s="6"/>
      <c r="D114" s="21"/>
      <c r="E114" s="22"/>
      <c r="F114" s="22"/>
      <c r="G114" s="23"/>
      <c r="H114" s="22"/>
      <c r="I114" s="10"/>
    </row>
    <row r="115">
      <c r="A115" s="11"/>
      <c r="B115" s="11"/>
      <c r="C115" s="11"/>
      <c r="D115" s="24"/>
      <c r="E115" s="25"/>
      <c r="F115" s="25"/>
      <c r="G115" s="26"/>
      <c r="H115" s="25"/>
      <c r="I115" s="15"/>
    </row>
    <row r="116">
      <c r="A116" s="6"/>
      <c r="B116" s="6"/>
      <c r="C116" s="6"/>
      <c r="D116" s="21"/>
      <c r="E116" s="22"/>
      <c r="F116" s="22"/>
      <c r="G116" s="23"/>
      <c r="H116" s="22"/>
      <c r="I116" s="10"/>
    </row>
    <row r="117">
      <c r="A117" s="11"/>
      <c r="B117" s="11"/>
      <c r="C117" s="11"/>
      <c r="D117" s="24"/>
      <c r="E117" s="25"/>
      <c r="F117" s="25"/>
      <c r="G117" s="26"/>
      <c r="H117" s="25"/>
      <c r="I117" s="15"/>
    </row>
    <row r="118">
      <c r="A118" s="6"/>
      <c r="B118" s="6"/>
      <c r="C118" s="6"/>
      <c r="D118" s="21"/>
      <c r="E118" s="22"/>
      <c r="F118" s="22"/>
      <c r="G118" s="23"/>
      <c r="H118" s="22"/>
      <c r="I118" s="10"/>
    </row>
    <row r="119">
      <c r="A119" s="11"/>
      <c r="B119" s="11"/>
      <c r="C119" s="11"/>
      <c r="D119" s="24"/>
      <c r="E119" s="25"/>
      <c r="F119" s="25"/>
      <c r="G119" s="26"/>
      <c r="H119" s="25"/>
      <c r="I119" s="15"/>
    </row>
    <row r="120">
      <c r="A120" s="6"/>
      <c r="B120" s="6"/>
      <c r="C120" s="6"/>
      <c r="D120" s="21"/>
      <c r="E120" s="22"/>
      <c r="F120" s="22"/>
      <c r="G120" s="23"/>
      <c r="H120" s="22"/>
      <c r="I120" s="10"/>
    </row>
    <row r="121">
      <c r="A121" s="11"/>
      <c r="B121" s="11"/>
      <c r="C121" s="11"/>
      <c r="D121" s="24"/>
      <c r="E121" s="25"/>
      <c r="F121" s="25"/>
      <c r="G121" s="26"/>
      <c r="H121" s="25"/>
      <c r="I121" s="15"/>
    </row>
    <row r="122">
      <c r="A122" s="6"/>
      <c r="B122" s="6"/>
      <c r="C122" s="6"/>
      <c r="D122" s="21"/>
      <c r="E122" s="22"/>
      <c r="F122" s="22"/>
      <c r="G122" s="23"/>
      <c r="H122" s="22"/>
      <c r="I122" s="10"/>
    </row>
    <row r="123">
      <c r="A123" s="11"/>
      <c r="B123" s="11"/>
      <c r="C123" s="11"/>
      <c r="D123" s="24"/>
      <c r="E123" s="25"/>
      <c r="F123" s="25"/>
      <c r="G123" s="26"/>
      <c r="H123" s="25"/>
      <c r="I123" s="15"/>
    </row>
    <row r="124">
      <c r="A124" s="6"/>
      <c r="B124" s="6"/>
      <c r="C124" s="6"/>
      <c r="D124" s="21"/>
      <c r="E124" s="22"/>
      <c r="F124" s="22"/>
      <c r="G124" s="23"/>
      <c r="H124" s="22"/>
      <c r="I124" s="10"/>
    </row>
    <row r="125">
      <c r="A125" s="11"/>
      <c r="B125" s="11"/>
      <c r="C125" s="11"/>
      <c r="D125" s="24"/>
      <c r="E125" s="25"/>
      <c r="F125" s="25"/>
      <c r="G125" s="26"/>
      <c r="H125" s="25"/>
      <c r="I125" s="15"/>
    </row>
    <row r="126">
      <c r="A126" s="6"/>
      <c r="B126" s="6"/>
      <c r="C126" s="6"/>
      <c r="D126" s="21"/>
      <c r="E126" s="22"/>
      <c r="F126" s="22"/>
      <c r="G126" s="23"/>
      <c r="H126" s="22"/>
      <c r="I126" s="10"/>
    </row>
    <row r="127">
      <c r="A127" s="11"/>
      <c r="B127" s="11"/>
      <c r="C127" s="11"/>
      <c r="D127" s="24"/>
      <c r="E127" s="25"/>
      <c r="F127" s="25"/>
      <c r="G127" s="26"/>
      <c r="H127" s="25"/>
      <c r="I127" s="15"/>
    </row>
    <row r="128">
      <c r="A128" s="6"/>
      <c r="B128" s="6"/>
      <c r="C128" s="6"/>
      <c r="D128" s="21"/>
      <c r="E128" s="22"/>
      <c r="F128" s="22"/>
      <c r="G128" s="23"/>
      <c r="H128" s="22"/>
      <c r="I128" s="10"/>
    </row>
    <row r="129">
      <c r="A129" s="11"/>
      <c r="B129" s="11"/>
      <c r="C129" s="11"/>
      <c r="D129" s="24"/>
      <c r="E129" s="25"/>
      <c r="F129" s="25"/>
      <c r="G129" s="26"/>
      <c r="H129" s="25"/>
      <c r="I129" s="15"/>
    </row>
    <row r="130">
      <c r="A130" s="6"/>
      <c r="B130" s="6"/>
      <c r="C130" s="6"/>
      <c r="D130" s="21"/>
      <c r="E130" s="22"/>
      <c r="F130" s="22"/>
      <c r="G130" s="23"/>
      <c r="H130" s="22"/>
      <c r="I130" s="10"/>
    </row>
    <row r="131">
      <c r="A131" s="11"/>
      <c r="B131" s="11"/>
      <c r="C131" s="11"/>
      <c r="D131" s="24"/>
      <c r="E131" s="25"/>
      <c r="F131" s="25"/>
      <c r="G131" s="26"/>
      <c r="H131" s="25"/>
      <c r="I131" s="15"/>
    </row>
    <row r="132">
      <c r="A132" s="6"/>
      <c r="B132" s="6"/>
      <c r="C132" s="6"/>
      <c r="D132" s="21"/>
      <c r="E132" s="22"/>
      <c r="F132" s="22"/>
      <c r="G132" s="23"/>
      <c r="H132" s="22"/>
      <c r="I132" s="10"/>
    </row>
    <row r="133">
      <c r="A133" s="11"/>
      <c r="B133" s="11"/>
      <c r="C133" s="11"/>
      <c r="D133" s="24"/>
      <c r="E133" s="25"/>
      <c r="F133" s="25"/>
      <c r="G133" s="26"/>
      <c r="H133" s="25"/>
      <c r="I133" s="15"/>
    </row>
    <row r="134">
      <c r="A134" s="6"/>
      <c r="B134" s="6"/>
      <c r="C134" s="6"/>
      <c r="D134" s="21"/>
      <c r="E134" s="22"/>
      <c r="F134" s="22"/>
      <c r="G134" s="23"/>
      <c r="H134" s="22"/>
      <c r="I134" s="10"/>
    </row>
    <row r="135">
      <c r="A135" s="11"/>
      <c r="B135" s="11"/>
      <c r="C135" s="11"/>
      <c r="D135" s="24"/>
      <c r="E135" s="25"/>
      <c r="F135" s="25"/>
      <c r="G135" s="26"/>
      <c r="H135" s="25"/>
      <c r="I135" s="15"/>
    </row>
    <row r="136">
      <c r="A136" s="6"/>
      <c r="B136" s="6"/>
      <c r="C136" s="6"/>
      <c r="D136" s="21"/>
      <c r="E136" s="22"/>
      <c r="F136" s="22"/>
      <c r="G136" s="23"/>
      <c r="H136" s="22"/>
      <c r="I136" s="10"/>
    </row>
    <row r="137">
      <c r="A137" s="11"/>
      <c r="B137" s="11"/>
      <c r="C137" s="11"/>
      <c r="D137" s="24"/>
      <c r="E137" s="25"/>
      <c r="F137" s="25"/>
      <c r="G137" s="26"/>
      <c r="H137" s="25"/>
      <c r="I137" s="15"/>
    </row>
    <row r="138">
      <c r="A138" s="6"/>
      <c r="B138" s="6"/>
      <c r="C138" s="6"/>
      <c r="D138" s="21"/>
      <c r="E138" s="22"/>
      <c r="F138" s="22"/>
      <c r="G138" s="23"/>
      <c r="H138" s="22"/>
      <c r="I138" s="10"/>
    </row>
    <row r="139">
      <c r="A139" s="11"/>
      <c r="B139" s="11"/>
      <c r="C139" s="11"/>
      <c r="D139" s="24"/>
      <c r="E139" s="25"/>
      <c r="F139" s="25"/>
      <c r="G139" s="26"/>
      <c r="H139" s="25"/>
      <c r="I139" s="15"/>
    </row>
    <row r="140">
      <c r="A140" s="6"/>
      <c r="B140" s="6"/>
      <c r="C140" s="6"/>
      <c r="D140" s="21"/>
      <c r="E140" s="22"/>
      <c r="F140" s="22"/>
      <c r="G140" s="23"/>
      <c r="H140" s="22"/>
      <c r="I140" s="10"/>
    </row>
    <row r="141">
      <c r="A141" s="11"/>
      <c r="B141" s="11"/>
      <c r="C141" s="11"/>
      <c r="D141" s="24"/>
      <c r="E141" s="25"/>
      <c r="F141" s="25"/>
      <c r="G141" s="26"/>
      <c r="H141" s="25"/>
      <c r="I141" s="15"/>
    </row>
    <row r="142">
      <c r="A142" s="6"/>
      <c r="B142" s="6"/>
      <c r="C142" s="6"/>
      <c r="D142" s="21"/>
      <c r="E142" s="22"/>
      <c r="F142" s="22"/>
      <c r="G142" s="23"/>
      <c r="H142" s="22"/>
      <c r="I142" s="10"/>
    </row>
    <row r="143">
      <c r="A143" s="11"/>
      <c r="B143" s="11"/>
      <c r="C143" s="11"/>
      <c r="D143" s="24"/>
      <c r="E143" s="25"/>
      <c r="F143" s="25"/>
      <c r="G143" s="26"/>
      <c r="H143" s="25"/>
      <c r="I143" s="15"/>
    </row>
    <row r="144">
      <c r="A144" s="6"/>
      <c r="B144" s="6"/>
      <c r="C144" s="6"/>
      <c r="D144" s="21"/>
      <c r="E144" s="22"/>
      <c r="F144" s="22"/>
      <c r="G144" s="23"/>
      <c r="H144" s="22"/>
      <c r="I144" s="10"/>
    </row>
    <row r="145">
      <c r="A145" s="11"/>
      <c r="B145" s="11"/>
      <c r="C145" s="11"/>
      <c r="D145" s="24"/>
      <c r="E145" s="25"/>
      <c r="F145" s="25"/>
      <c r="G145" s="26"/>
      <c r="H145" s="25"/>
      <c r="I145" s="15"/>
    </row>
    <row r="146">
      <c r="A146" s="6"/>
      <c r="B146" s="6"/>
      <c r="C146" s="6"/>
      <c r="D146" s="21"/>
      <c r="E146" s="22"/>
      <c r="F146" s="22"/>
      <c r="G146" s="23"/>
      <c r="H146" s="22"/>
      <c r="I146" s="10"/>
    </row>
    <row r="147">
      <c r="A147" s="11"/>
      <c r="B147" s="11"/>
      <c r="C147" s="11"/>
      <c r="D147" s="24"/>
      <c r="E147" s="25"/>
      <c r="F147" s="25"/>
      <c r="G147" s="26"/>
      <c r="H147" s="25"/>
      <c r="I147" s="15"/>
    </row>
    <row r="148">
      <c r="A148" s="6"/>
      <c r="B148" s="6"/>
      <c r="C148" s="6"/>
      <c r="D148" s="21"/>
      <c r="E148" s="22"/>
      <c r="F148" s="22"/>
      <c r="G148" s="23"/>
      <c r="H148" s="22"/>
      <c r="I148" s="10"/>
    </row>
    <row r="149">
      <c r="A149" s="11"/>
      <c r="B149" s="11"/>
      <c r="C149" s="11"/>
      <c r="D149" s="24"/>
      <c r="E149" s="25"/>
      <c r="F149" s="25"/>
      <c r="G149" s="26"/>
      <c r="H149" s="25"/>
      <c r="I149" s="15"/>
    </row>
    <row r="150">
      <c r="A150" s="6"/>
      <c r="B150" s="6"/>
      <c r="C150" s="6"/>
      <c r="D150" s="21"/>
      <c r="E150" s="22"/>
      <c r="F150" s="22"/>
      <c r="G150" s="23"/>
      <c r="H150" s="22"/>
      <c r="I150" s="10"/>
    </row>
    <row r="151">
      <c r="A151" s="11"/>
      <c r="B151" s="11"/>
      <c r="C151" s="11"/>
      <c r="D151" s="24"/>
      <c r="E151" s="25"/>
      <c r="F151" s="25"/>
      <c r="G151" s="26"/>
      <c r="H151" s="25"/>
      <c r="I151" s="15"/>
    </row>
    <row r="152">
      <c r="A152" s="6"/>
      <c r="B152" s="6"/>
      <c r="C152" s="6"/>
      <c r="D152" s="21"/>
      <c r="E152" s="22"/>
      <c r="F152" s="22"/>
      <c r="G152" s="23"/>
      <c r="H152" s="22"/>
      <c r="I152" s="10"/>
    </row>
    <row r="153">
      <c r="A153" s="11"/>
      <c r="B153" s="11"/>
      <c r="C153" s="11"/>
      <c r="D153" s="24"/>
      <c r="E153" s="25"/>
      <c r="F153" s="25"/>
      <c r="G153" s="26"/>
      <c r="H153" s="25"/>
      <c r="I153" s="15"/>
    </row>
    <row r="154">
      <c r="A154" s="6"/>
      <c r="B154" s="6"/>
      <c r="C154" s="6"/>
      <c r="D154" s="21"/>
      <c r="E154" s="22"/>
      <c r="F154" s="22"/>
      <c r="G154" s="23"/>
      <c r="H154" s="22"/>
      <c r="I154" s="10"/>
    </row>
    <row r="155">
      <c r="A155" s="11"/>
      <c r="B155" s="11"/>
      <c r="C155" s="11"/>
      <c r="D155" s="24"/>
      <c r="E155" s="25"/>
      <c r="F155" s="25"/>
      <c r="G155" s="26"/>
      <c r="H155" s="25"/>
      <c r="I155" s="15"/>
    </row>
    <row r="156">
      <c r="A156" s="6"/>
      <c r="B156" s="6"/>
      <c r="C156" s="6"/>
      <c r="D156" s="21"/>
      <c r="E156" s="22"/>
      <c r="F156" s="22"/>
      <c r="G156" s="23"/>
      <c r="H156" s="22"/>
      <c r="I156" s="10"/>
    </row>
    <row r="157">
      <c r="A157" s="11"/>
      <c r="B157" s="11"/>
      <c r="C157" s="11"/>
      <c r="D157" s="24"/>
      <c r="E157" s="25"/>
      <c r="F157" s="25"/>
      <c r="G157" s="26"/>
      <c r="H157" s="25"/>
      <c r="I157" s="15"/>
    </row>
    <row r="158">
      <c r="A158" s="6"/>
      <c r="B158" s="6"/>
      <c r="C158" s="6"/>
      <c r="D158" s="21"/>
      <c r="E158" s="22"/>
      <c r="F158" s="22"/>
      <c r="G158" s="23"/>
      <c r="H158" s="22"/>
      <c r="I158" s="10"/>
    </row>
    <row r="159">
      <c r="A159" s="11"/>
      <c r="B159" s="11"/>
      <c r="C159" s="11"/>
      <c r="D159" s="24"/>
      <c r="E159" s="25"/>
      <c r="F159" s="25"/>
      <c r="G159" s="26"/>
      <c r="H159" s="25"/>
      <c r="I159" s="15"/>
    </row>
    <row r="160">
      <c r="A160" s="6"/>
      <c r="B160" s="6"/>
      <c r="C160" s="6"/>
      <c r="D160" s="21"/>
      <c r="E160" s="22"/>
      <c r="F160" s="22"/>
      <c r="G160" s="23"/>
      <c r="H160" s="22"/>
      <c r="I160" s="10"/>
    </row>
    <row r="161">
      <c r="A161" s="11"/>
      <c r="B161" s="11"/>
      <c r="C161" s="11"/>
      <c r="D161" s="24"/>
      <c r="E161" s="25"/>
      <c r="F161" s="25"/>
      <c r="G161" s="26"/>
      <c r="H161" s="25"/>
      <c r="I161" s="15"/>
    </row>
    <row r="162">
      <c r="A162" s="6"/>
      <c r="B162" s="6"/>
      <c r="C162" s="6"/>
      <c r="D162" s="21"/>
      <c r="E162" s="22"/>
      <c r="F162" s="22"/>
      <c r="G162" s="23"/>
      <c r="H162" s="22"/>
      <c r="I162" s="10"/>
    </row>
    <row r="163">
      <c r="A163" s="11"/>
      <c r="B163" s="11"/>
      <c r="C163" s="11"/>
      <c r="D163" s="24"/>
      <c r="E163" s="25"/>
      <c r="F163" s="25"/>
      <c r="G163" s="26"/>
      <c r="H163" s="25"/>
      <c r="I163" s="15"/>
    </row>
    <row r="164">
      <c r="A164" s="6"/>
      <c r="B164" s="6"/>
      <c r="C164" s="6"/>
      <c r="D164" s="21"/>
      <c r="E164" s="22"/>
      <c r="F164" s="22"/>
      <c r="G164" s="23"/>
      <c r="H164" s="22"/>
      <c r="I164" s="10"/>
    </row>
    <row r="165">
      <c r="A165" s="11"/>
      <c r="B165" s="11"/>
      <c r="C165" s="11"/>
      <c r="D165" s="24"/>
      <c r="E165" s="25"/>
      <c r="F165" s="25"/>
      <c r="G165" s="26"/>
      <c r="H165" s="25"/>
      <c r="I165" s="15"/>
    </row>
    <row r="166">
      <c r="A166" s="6"/>
      <c r="B166" s="6"/>
      <c r="C166" s="6"/>
      <c r="D166" s="21"/>
      <c r="E166" s="22"/>
      <c r="F166" s="22"/>
      <c r="G166" s="23"/>
      <c r="H166" s="22"/>
      <c r="I166" s="10"/>
    </row>
    <row r="167">
      <c r="A167" s="11"/>
      <c r="B167" s="11"/>
      <c r="C167" s="11"/>
      <c r="D167" s="24"/>
      <c r="E167" s="25"/>
      <c r="F167" s="25"/>
      <c r="G167" s="26"/>
      <c r="H167" s="25"/>
      <c r="I167" s="15"/>
    </row>
    <row r="168">
      <c r="A168" s="6"/>
      <c r="B168" s="6"/>
      <c r="C168" s="6"/>
      <c r="D168" s="21"/>
      <c r="E168" s="22"/>
      <c r="F168" s="22"/>
      <c r="G168" s="23"/>
      <c r="H168" s="22"/>
      <c r="I168" s="10"/>
    </row>
    <row r="169">
      <c r="A169" s="11"/>
      <c r="B169" s="11"/>
      <c r="C169" s="11"/>
      <c r="D169" s="24"/>
      <c r="E169" s="25"/>
      <c r="F169" s="25"/>
      <c r="G169" s="26"/>
      <c r="H169" s="25"/>
      <c r="I169" s="15"/>
    </row>
    <row r="170">
      <c r="A170" s="6"/>
      <c r="B170" s="6"/>
      <c r="C170" s="6"/>
      <c r="D170" s="21"/>
      <c r="E170" s="22"/>
      <c r="F170" s="22"/>
      <c r="G170" s="23"/>
      <c r="H170" s="22"/>
      <c r="I170" s="10"/>
    </row>
    <row r="171">
      <c r="A171" s="11"/>
      <c r="B171" s="11"/>
      <c r="C171" s="11"/>
      <c r="D171" s="24"/>
      <c r="E171" s="25"/>
      <c r="F171" s="25"/>
      <c r="G171" s="26"/>
      <c r="H171" s="25"/>
      <c r="I171" s="15"/>
    </row>
    <row r="172">
      <c r="A172" s="6"/>
      <c r="B172" s="6"/>
      <c r="C172" s="6"/>
      <c r="D172" s="21"/>
      <c r="E172" s="22"/>
      <c r="F172" s="22"/>
      <c r="G172" s="23"/>
      <c r="H172" s="22"/>
      <c r="I172" s="10"/>
    </row>
    <row r="173">
      <c r="A173" s="11"/>
      <c r="B173" s="11"/>
      <c r="C173" s="11"/>
      <c r="D173" s="24"/>
      <c r="E173" s="25"/>
      <c r="F173" s="25"/>
      <c r="G173" s="26"/>
      <c r="H173" s="25"/>
      <c r="I173" s="15"/>
    </row>
    <row r="174">
      <c r="A174" s="6"/>
      <c r="B174" s="6"/>
      <c r="C174" s="6"/>
      <c r="D174" s="21"/>
      <c r="E174" s="22"/>
      <c r="F174" s="22"/>
      <c r="G174" s="23"/>
      <c r="H174" s="22"/>
      <c r="I174" s="10"/>
    </row>
    <row r="175">
      <c r="A175" s="11"/>
      <c r="B175" s="11"/>
      <c r="C175" s="11"/>
      <c r="D175" s="24"/>
      <c r="E175" s="25"/>
      <c r="F175" s="25"/>
      <c r="G175" s="26"/>
      <c r="H175" s="25"/>
      <c r="I175" s="15"/>
    </row>
    <row r="176">
      <c r="A176" s="6"/>
      <c r="B176" s="6"/>
      <c r="C176" s="6"/>
      <c r="D176" s="21"/>
      <c r="E176" s="22"/>
      <c r="F176" s="22"/>
      <c r="G176" s="23"/>
      <c r="H176" s="22"/>
      <c r="I176" s="10"/>
    </row>
    <row r="177">
      <c r="A177" s="11"/>
      <c r="B177" s="11"/>
      <c r="C177" s="11"/>
      <c r="D177" s="24"/>
      <c r="E177" s="25"/>
      <c r="F177" s="25"/>
      <c r="G177" s="26"/>
      <c r="H177" s="25"/>
      <c r="I177" s="15"/>
    </row>
    <row r="178">
      <c r="A178" s="6"/>
      <c r="B178" s="6"/>
      <c r="C178" s="6"/>
      <c r="D178" s="21"/>
      <c r="E178" s="22"/>
      <c r="F178" s="22"/>
      <c r="G178" s="23"/>
      <c r="H178" s="22"/>
      <c r="I178" s="10"/>
    </row>
    <row r="179">
      <c r="A179" s="11"/>
      <c r="B179" s="11"/>
      <c r="C179" s="11"/>
      <c r="D179" s="24"/>
      <c r="E179" s="25"/>
      <c r="F179" s="25"/>
      <c r="G179" s="26"/>
      <c r="H179" s="25"/>
      <c r="I179" s="15"/>
    </row>
    <row r="180">
      <c r="A180" s="6"/>
      <c r="B180" s="6"/>
      <c r="C180" s="6"/>
      <c r="D180" s="21"/>
      <c r="E180" s="22"/>
      <c r="F180" s="22"/>
      <c r="G180" s="23"/>
      <c r="H180" s="22"/>
      <c r="I180" s="10"/>
    </row>
    <row r="181">
      <c r="A181" s="11"/>
      <c r="B181" s="11"/>
      <c r="C181" s="11"/>
      <c r="D181" s="24"/>
      <c r="E181" s="25"/>
      <c r="F181" s="25"/>
      <c r="G181" s="26"/>
      <c r="H181" s="25"/>
      <c r="I181" s="15"/>
    </row>
    <row r="182">
      <c r="A182" s="6"/>
      <c r="B182" s="6"/>
      <c r="C182" s="6"/>
      <c r="D182" s="21"/>
      <c r="E182" s="22"/>
      <c r="F182" s="22"/>
      <c r="G182" s="23"/>
      <c r="H182" s="22"/>
      <c r="I182" s="10"/>
    </row>
    <row r="183">
      <c r="A183" s="11"/>
      <c r="B183" s="11"/>
      <c r="C183" s="11"/>
      <c r="D183" s="24"/>
      <c r="E183" s="25"/>
      <c r="F183" s="25"/>
      <c r="G183" s="26"/>
      <c r="H183" s="25"/>
      <c r="I183" s="15"/>
    </row>
    <row r="184">
      <c r="A184" s="6"/>
      <c r="B184" s="6"/>
      <c r="C184" s="6"/>
      <c r="D184" s="21"/>
      <c r="E184" s="22"/>
      <c r="F184" s="22"/>
      <c r="G184" s="23"/>
      <c r="H184" s="22"/>
      <c r="I184" s="10"/>
    </row>
    <row r="185">
      <c r="A185" s="11"/>
      <c r="B185" s="11"/>
      <c r="C185" s="11"/>
      <c r="D185" s="24"/>
      <c r="E185" s="25"/>
      <c r="F185" s="25"/>
      <c r="G185" s="26"/>
      <c r="H185" s="25"/>
      <c r="I185" s="15"/>
    </row>
    <row r="186">
      <c r="A186" s="6"/>
      <c r="B186" s="6"/>
      <c r="C186" s="6"/>
      <c r="D186" s="21"/>
      <c r="E186" s="22"/>
      <c r="F186" s="22"/>
      <c r="G186" s="23"/>
      <c r="H186" s="22"/>
      <c r="I186" s="10"/>
    </row>
    <row r="187">
      <c r="A187" s="11"/>
      <c r="B187" s="11"/>
      <c r="C187" s="11"/>
      <c r="D187" s="24"/>
      <c r="E187" s="25"/>
      <c r="F187" s="25"/>
      <c r="G187" s="26"/>
      <c r="H187" s="25"/>
      <c r="I187" s="15"/>
    </row>
    <row r="188">
      <c r="A188" s="6"/>
      <c r="B188" s="6"/>
      <c r="C188" s="6"/>
      <c r="D188" s="21"/>
      <c r="E188" s="22"/>
      <c r="F188" s="22"/>
      <c r="G188" s="23"/>
      <c r="H188" s="22"/>
      <c r="I188" s="10"/>
    </row>
    <row r="189">
      <c r="A189" s="11"/>
      <c r="B189" s="11"/>
      <c r="C189" s="11"/>
      <c r="D189" s="24"/>
      <c r="E189" s="25"/>
      <c r="F189" s="25"/>
      <c r="G189" s="26"/>
      <c r="H189" s="25"/>
      <c r="I189" s="15"/>
    </row>
    <row r="190">
      <c r="A190" s="6"/>
      <c r="B190" s="6"/>
      <c r="C190" s="6"/>
      <c r="D190" s="21"/>
      <c r="E190" s="22"/>
      <c r="F190" s="22"/>
      <c r="G190" s="23"/>
      <c r="H190" s="22"/>
      <c r="I190" s="10"/>
    </row>
    <row r="191">
      <c r="A191" s="11"/>
      <c r="B191" s="11"/>
      <c r="C191" s="11"/>
      <c r="D191" s="24"/>
      <c r="E191" s="25"/>
      <c r="F191" s="25"/>
      <c r="G191" s="26"/>
      <c r="H191" s="25"/>
      <c r="I191" s="15"/>
    </row>
    <row r="192">
      <c r="A192" s="6"/>
      <c r="B192" s="6"/>
      <c r="C192" s="6"/>
      <c r="D192" s="21"/>
      <c r="E192" s="22"/>
      <c r="F192" s="22"/>
      <c r="G192" s="23"/>
      <c r="H192" s="22"/>
      <c r="I192" s="10"/>
    </row>
    <row r="193">
      <c r="A193" s="11"/>
      <c r="B193" s="11"/>
      <c r="C193" s="11"/>
      <c r="D193" s="24"/>
      <c r="E193" s="25"/>
      <c r="F193" s="25"/>
      <c r="G193" s="26"/>
      <c r="H193" s="25"/>
      <c r="I193" s="15"/>
    </row>
    <row r="194">
      <c r="A194" s="6"/>
      <c r="B194" s="6"/>
      <c r="C194" s="6"/>
      <c r="D194" s="21"/>
      <c r="E194" s="22"/>
      <c r="F194" s="22"/>
      <c r="G194" s="23"/>
      <c r="H194" s="22"/>
      <c r="I194" s="10"/>
    </row>
    <row r="195">
      <c r="A195" s="11"/>
      <c r="B195" s="11"/>
      <c r="C195" s="11"/>
      <c r="D195" s="24"/>
      <c r="E195" s="25"/>
      <c r="F195" s="25"/>
      <c r="G195" s="26"/>
      <c r="H195" s="25"/>
      <c r="I195" s="15"/>
    </row>
    <row r="196">
      <c r="A196" s="6"/>
      <c r="B196" s="6"/>
      <c r="C196" s="6"/>
      <c r="D196" s="21"/>
      <c r="E196" s="22"/>
      <c r="F196" s="22"/>
      <c r="G196" s="23"/>
      <c r="H196" s="22"/>
      <c r="I196" s="10"/>
    </row>
    <row r="197">
      <c r="A197" s="11"/>
      <c r="B197" s="11"/>
      <c r="C197" s="11"/>
      <c r="D197" s="24"/>
      <c r="E197" s="25"/>
      <c r="F197" s="25"/>
      <c r="G197" s="26"/>
      <c r="H197" s="25"/>
      <c r="I197" s="15"/>
    </row>
    <row r="198">
      <c r="A198" s="6"/>
      <c r="B198" s="6"/>
      <c r="C198" s="6"/>
      <c r="D198" s="21"/>
      <c r="E198" s="22"/>
      <c r="F198" s="22"/>
      <c r="G198" s="23"/>
      <c r="H198" s="22"/>
      <c r="I198" s="10"/>
    </row>
    <row r="199">
      <c r="A199" s="11"/>
      <c r="B199" s="11"/>
      <c r="C199" s="11"/>
      <c r="D199" s="24"/>
      <c r="E199" s="25"/>
      <c r="F199" s="25"/>
      <c r="G199" s="26"/>
      <c r="H199" s="25"/>
      <c r="I199" s="15"/>
    </row>
    <row r="200">
      <c r="A200" s="6"/>
      <c r="B200" s="6"/>
      <c r="C200" s="6"/>
      <c r="D200" s="21"/>
      <c r="E200" s="22"/>
      <c r="F200" s="22"/>
      <c r="G200" s="23"/>
      <c r="H200" s="22"/>
      <c r="I200" s="10"/>
    </row>
    <row r="201">
      <c r="A201" s="11"/>
      <c r="B201" s="11"/>
      <c r="C201" s="11"/>
      <c r="D201" s="24"/>
      <c r="E201" s="25"/>
      <c r="F201" s="25"/>
      <c r="G201" s="26"/>
      <c r="H201" s="25"/>
      <c r="I201" s="15"/>
    </row>
    <row r="202">
      <c r="A202" s="6"/>
      <c r="B202" s="6"/>
      <c r="C202" s="6"/>
      <c r="D202" s="21"/>
      <c r="E202" s="22"/>
      <c r="F202" s="22"/>
      <c r="G202" s="23"/>
      <c r="H202" s="22"/>
      <c r="I202" s="10"/>
    </row>
    <row r="203">
      <c r="A203" s="11"/>
      <c r="B203" s="11"/>
      <c r="C203" s="11"/>
      <c r="D203" s="24"/>
      <c r="E203" s="25"/>
      <c r="F203" s="25"/>
      <c r="G203" s="26"/>
      <c r="H203" s="25"/>
      <c r="I203" s="15"/>
    </row>
    <row r="204">
      <c r="A204" s="6"/>
      <c r="B204" s="6"/>
      <c r="C204" s="6"/>
      <c r="D204" s="21"/>
      <c r="E204" s="22"/>
      <c r="F204" s="22"/>
      <c r="G204" s="23"/>
      <c r="H204" s="22"/>
      <c r="I204" s="10"/>
    </row>
    <row r="205">
      <c r="A205" s="11"/>
      <c r="B205" s="11"/>
      <c r="C205" s="11"/>
      <c r="D205" s="24"/>
      <c r="E205" s="25"/>
      <c r="F205" s="25"/>
      <c r="G205" s="26"/>
      <c r="H205" s="25"/>
      <c r="I205" s="15"/>
    </row>
    <row r="206">
      <c r="A206" s="6"/>
      <c r="B206" s="6"/>
      <c r="C206" s="6"/>
      <c r="D206" s="21"/>
      <c r="E206" s="22"/>
      <c r="F206" s="22"/>
      <c r="G206" s="23"/>
      <c r="H206" s="22"/>
      <c r="I206" s="10"/>
    </row>
    <row r="207">
      <c r="A207" s="11"/>
      <c r="B207" s="11"/>
      <c r="C207" s="11"/>
      <c r="D207" s="24"/>
      <c r="E207" s="25"/>
      <c r="F207" s="25"/>
      <c r="G207" s="26"/>
      <c r="H207" s="25"/>
      <c r="I207" s="15"/>
    </row>
    <row r="208">
      <c r="A208" s="6"/>
      <c r="B208" s="6"/>
      <c r="C208" s="6"/>
      <c r="D208" s="21"/>
      <c r="E208" s="22"/>
      <c r="F208" s="22"/>
      <c r="G208" s="23"/>
      <c r="H208" s="22"/>
      <c r="I208" s="10"/>
    </row>
    <row r="209">
      <c r="A209" s="11"/>
      <c r="B209" s="11"/>
      <c r="C209" s="11"/>
      <c r="D209" s="24"/>
      <c r="E209" s="25"/>
      <c r="F209" s="25"/>
      <c r="G209" s="26"/>
      <c r="H209" s="25"/>
      <c r="I209" s="15"/>
    </row>
    <row r="210">
      <c r="A210" s="6"/>
      <c r="B210" s="6"/>
      <c r="C210" s="6"/>
      <c r="D210" s="21"/>
      <c r="E210" s="22"/>
      <c r="F210" s="22"/>
      <c r="G210" s="23"/>
      <c r="H210" s="22"/>
      <c r="I210" s="10"/>
    </row>
    <row r="211">
      <c r="A211" s="11"/>
      <c r="B211" s="11"/>
      <c r="C211" s="11"/>
      <c r="D211" s="24"/>
      <c r="E211" s="25"/>
      <c r="F211" s="25"/>
      <c r="G211" s="26"/>
      <c r="H211" s="25"/>
      <c r="I211" s="15"/>
    </row>
    <row r="212">
      <c r="A212" s="6"/>
      <c r="B212" s="6"/>
      <c r="C212" s="6"/>
      <c r="D212" s="21"/>
      <c r="E212" s="22"/>
      <c r="F212" s="22"/>
      <c r="G212" s="23"/>
      <c r="H212" s="22"/>
      <c r="I212" s="10"/>
    </row>
    <row r="213">
      <c r="A213" s="11"/>
      <c r="B213" s="11"/>
      <c r="C213" s="11"/>
      <c r="D213" s="24"/>
      <c r="E213" s="25"/>
      <c r="F213" s="25"/>
      <c r="G213" s="26"/>
      <c r="H213" s="25"/>
      <c r="I213" s="15"/>
    </row>
    <row r="214">
      <c r="A214" s="6"/>
      <c r="B214" s="6"/>
      <c r="C214" s="6"/>
      <c r="D214" s="21"/>
      <c r="E214" s="22"/>
      <c r="F214" s="22"/>
      <c r="G214" s="23"/>
      <c r="H214" s="22"/>
      <c r="I214" s="10"/>
    </row>
    <row r="215">
      <c r="A215" s="11"/>
      <c r="B215" s="11"/>
      <c r="C215" s="11"/>
      <c r="D215" s="24"/>
      <c r="E215" s="25"/>
      <c r="F215" s="25"/>
      <c r="G215" s="26"/>
      <c r="H215" s="25"/>
      <c r="I215" s="15"/>
    </row>
    <row r="216">
      <c r="A216" s="6"/>
      <c r="B216" s="6"/>
      <c r="C216" s="6"/>
      <c r="D216" s="21"/>
      <c r="E216" s="22"/>
      <c r="F216" s="22"/>
      <c r="G216" s="23"/>
      <c r="H216" s="22"/>
      <c r="I216" s="10"/>
    </row>
    <row r="217">
      <c r="A217" s="11"/>
      <c r="B217" s="11"/>
      <c r="C217" s="11"/>
      <c r="D217" s="24"/>
      <c r="E217" s="25"/>
      <c r="F217" s="25"/>
      <c r="G217" s="26"/>
      <c r="H217" s="25"/>
      <c r="I217" s="15"/>
    </row>
    <row r="218">
      <c r="A218" s="6"/>
      <c r="B218" s="6"/>
      <c r="C218" s="6"/>
      <c r="D218" s="21"/>
      <c r="E218" s="22"/>
      <c r="F218" s="22"/>
      <c r="G218" s="23"/>
      <c r="H218" s="22"/>
      <c r="I218" s="10"/>
    </row>
    <row r="219">
      <c r="A219" s="11"/>
      <c r="B219" s="11"/>
      <c r="C219" s="11"/>
      <c r="D219" s="24"/>
      <c r="E219" s="25"/>
      <c r="F219" s="25"/>
      <c r="G219" s="26"/>
      <c r="H219" s="25"/>
      <c r="I219" s="15"/>
    </row>
    <row r="220">
      <c r="A220" s="6"/>
      <c r="B220" s="6"/>
      <c r="C220" s="6"/>
      <c r="D220" s="21"/>
      <c r="E220" s="22"/>
      <c r="F220" s="22"/>
      <c r="G220" s="23"/>
      <c r="H220" s="22"/>
      <c r="I220" s="10"/>
    </row>
    <row r="221">
      <c r="A221" s="11"/>
      <c r="B221" s="11"/>
      <c r="C221" s="11"/>
      <c r="D221" s="24"/>
      <c r="E221" s="25"/>
      <c r="F221" s="25"/>
      <c r="G221" s="26"/>
      <c r="H221" s="25"/>
      <c r="I221" s="15"/>
    </row>
    <row r="222">
      <c r="A222" s="6"/>
      <c r="B222" s="6"/>
      <c r="C222" s="6"/>
      <c r="D222" s="21"/>
      <c r="E222" s="22"/>
      <c r="F222" s="22"/>
      <c r="G222" s="23"/>
      <c r="H222" s="22"/>
      <c r="I222" s="10"/>
    </row>
    <row r="223">
      <c r="A223" s="11"/>
      <c r="B223" s="11"/>
      <c r="C223" s="11"/>
      <c r="D223" s="24"/>
      <c r="E223" s="25"/>
      <c r="F223" s="25"/>
      <c r="G223" s="26"/>
      <c r="H223" s="25"/>
      <c r="I223" s="15"/>
    </row>
    <row r="224">
      <c r="A224" s="6"/>
      <c r="B224" s="6"/>
      <c r="C224" s="6"/>
      <c r="D224" s="21"/>
      <c r="E224" s="22"/>
      <c r="F224" s="22"/>
      <c r="G224" s="23"/>
      <c r="H224" s="22"/>
      <c r="I224" s="10"/>
    </row>
    <row r="225">
      <c r="A225" s="11"/>
      <c r="B225" s="11"/>
      <c r="C225" s="11"/>
      <c r="D225" s="24"/>
      <c r="E225" s="25"/>
      <c r="F225" s="25"/>
      <c r="G225" s="26"/>
      <c r="H225" s="25"/>
      <c r="I225" s="15"/>
    </row>
    <row r="226">
      <c r="A226" s="6"/>
      <c r="B226" s="6"/>
      <c r="C226" s="6"/>
      <c r="D226" s="21"/>
      <c r="E226" s="22"/>
      <c r="F226" s="22"/>
      <c r="G226" s="23"/>
      <c r="H226" s="22"/>
      <c r="I226" s="10"/>
    </row>
    <row r="227">
      <c r="A227" s="11"/>
      <c r="B227" s="11"/>
      <c r="C227" s="11"/>
      <c r="D227" s="24"/>
      <c r="E227" s="25"/>
      <c r="F227" s="25"/>
      <c r="G227" s="26"/>
      <c r="H227" s="25"/>
      <c r="I227" s="15"/>
    </row>
    <row r="228">
      <c r="A228" s="6"/>
      <c r="B228" s="6"/>
      <c r="C228" s="6"/>
      <c r="D228" s="21"/>
      <c r="E228" s="22"/>
      <c r="F228" s="22"/>
      <c r="G228" s="23"/>
      <c r="H228" s="22"/>
      <c r="I228" s="10"/>
    </row>
    <row r="229">
      <c r="A229" s="11"/>
      <c r="B229" s="11"/>
      <c r="C229" s="11"/>
      <c r="D229" s="24"/>
      <c r="E229" s="25"/>
      <c r="F229" s="25"/>
      <c r="G229" s="26"/>
      <c r="H229" s="25"/>
      <c r="I229" s="15"/>
    </row>
    <row r="230">
      <c r="A230" s="6"/>
      <c r="B230" s="6"/>
      <c r="C230" s="6"/>
      <c r="D230" s="21"/>
      <c r="E230" s="22"/>
      <c r="F230" s="22"/>
      <c r="G230" s="23"/>
      <c r="H230" s="22"/>
      <c r="I230" s="10"/>
    </row>
    <row r="231">
      <c r="A231" s="11"/>
      <c r="B231" s="11"/>
      <c r="C231" s="11"/>
      <c r="D231" s="24"/>
      <c r="E231" s="25"/>
      <c r="F231" s="25"/>
      <c r="G231" s="26"/>
      <c r="H231" s="25"/>
      <c r="I231" s="15"/>
    </row>
    <row r="232">
      <c r="A232" s="6"/>
      <c r="B232" s="6"/>
      <c r="C232" s="6"/>
      <c r="D232" s="21"/>
      <c r="E232" s="22"/>
      <c r="F232" s="22"/>
      <c r="G232" s="23"/>
      <c r="H232" s="22"/>
      <c r="I232" s="10"/>
    </row>
    <row r="233">
      <c r="A233" s="11"/>
      <c r="B233" s="11"/>
      <c r="C233" s="11"/>
      <c r="D233" s="24"/>
      <c r="E233" s="25"/>
      <c r="F233" s="25"/>
      <c r="G233" s="26"/>
      <c r="H233" s="25"/>
      <c r="I233" s="15"/>
    </row>
    <row r="234">
      <c r="A234" s="6"/>
      <c r="B234" s="6"/>
      <c r="C234" s="6"/>
      <c r="D234" s="21"/>
      <c r="E234" s="22"/>
      <c r="F234" s="22"/>
      <c r="G234" s="23"/>
      <c r="H234" s="22"/>
      <c r="I234" s="10"/>
    </row>
    <row r="235">
      <c r="A235" s="11"/>
      <c r="B235" s="11"/>
      <c r="C235" s="11"/>
      <c r="D235" s="24"/>
      <c r="E235" s="25"/>
      <c r="F235" s="25"/>
      <c r="G235" s="26"/>
      <c r="H235" s="25"/>
      <c r="I235" s="15"/>
    </row>
    <row r="236">
      <c r="A236" s="6"/>
      <c r="B236" s="6"/>
      <c r="C236" s="6"/>
      <c r="D236" s="21"/>
      <c r="E236" s="22"/>
      <c r="F236" s="22"/>
      <c r="G236" s="23"/>
      <c r="H236" s="22"/>
      <c r="I236" s="10"/>
    </row>
    <row r="237">
      <c r="A237" s="11"/>
      <c r="B237" s="11"/>
      <c r="C237" s="11"/>
      <c r="D237" s="24"/>
      <c r="E237" s="25"/>
      <c r="F237" s="25"/>
      <c r="G237" s="26"/>
      <c r="H237" s="25"/>
      <c r="I237" s="15"/>
    </row>
    <row r="238">
      <c r="A238" s="6"/>
      <c r="B238" s="6"/>
      <c r="C238" s="6"/>
      <c r="D238" s="21"/>
      <c r="E238" s="22"/>
      <c r="F238" s="22"/>
      <c r="G238" s="23"/>
      <c r="H238" s="22"/>
      <c r="I238" s="10"/>
    </row>
    <row r="239">
      <c r="A239" s="11"/>
      <c r="B239" s="11"/>
      <c r="C239" s="11"/>
      <c r="D239" s="24"/>
      <c r="E239" s="25"/>
      <c r="F239" s="25"/>
      <c r="G239" s="26"/>
      <c r="H239" s="25"/>
      <c r="I239" s="15"/>
    </row>
    <row r="240">
      <c r="A240" s="6"/>
      <c r="B240" s="6"/>
      <c r="C240" s="6"/>
      <c r="D240" s="21"/>
      <c r="E240" s="22"/>
      <c r="F240" s="22"/>
      <c r="G240" s="23"/>
      <c r="H240" s="22"/>
      <c r="I240" s="10"/>
    </row>
    <row r="241">
      <c r="A241" s="11"/>
      <c r="B241" s="11"/>
      <c r="C241" s="11"/>
      <c r="D241" s="24"/>
      <c r="E241" s="25"/>
      <c r="F241" s="25"/>
      <c r="G241" s="26"/>
      <c r="H241" s="25"/>
      <c r="I241" s="15"/>
    </row>
    <row r="242">
      <c r="A242" s="6"/>
      <c r="B242" s="6"/>
      <c r="C242" s="6"/>
      <c r="D242" s="21"/>
      <c r="E242" s="22"/>
      <c r="F242" s="22"/>
      <c r="G242" s="23"/>
      <c r="H242" s="22"/>
      <c r="I242" s="10"/>
    </row>
    <row r="243">
      <c r="A243" s="11"/>
      <c r="B243" s="11"/>
      <c r="C243" s="11"/>
      <c r="D243" s="24"/>
      <c r="E243" s="25"/>
      <c r="F243" s="25"/>
      <c r="G243" s="26"/>
      <c r="H243" s="25"/>
      <c r="I243" s="15"/>
    </row>
    <row r="244">
      <c r="A244" s="6"/>
      <c r="B244" s="6"/>
      <c r="C244" s="6"/>
      <c r="D244" s="21"/>
      <c r="E244" s="22"/>
      <c r="F244" s="22"/>
      <c r="G244" s="23"/>
      <c r="H244" s="22"/>
      <c r="I244" s="10"/>
    </row>
    <row r="245">
      <c r="A245" s="11"/>
      <c r="B245" s="11"/>
      <c r="C245" s="11"/>
      <c r="D245" s="24"/>
      <c r="E245" s="25"/>
      <c r="F245" s="25"/>
      <c r="G245" s="26"/>
      <c r="H245" s="25"/>
      <c r="I245" s="15"/>
    </row>
    <row r="246">
      <c r="A246" s="6"/>
      <c r="B246" s="6"/>
      <c r="C246" s="6"/>
      <c r="D246" s="21"/>
      <c r="E246" s="22"/>
      <c r="F246" s="22"/>
      <c r="G246" s="23"/>
      <c r="H246" s="22"/>
      <c r="I246" s="10"/>
    </row>
    <row r="247">
      <c r="A247" s="11"/>
      <c r="B247" s="11"/>
      <c r="C247" s="11"/>
      <c r="D247" s="24"/>
      <c r="E247" s="25"/>
      <c r="F247" s="25"/>
      <c r="G247" s="26"/>
      <c r="H247" s="25"/>
      <c r="I247" s="15"/>
    </row>
    <row r="248">
      <c r="A248" s="6"/>
      <c r="B248" s="6"/>
      <c r="C248" s="6"/>
      <c r="D248" s="21"/>
      <c r="E248" s="22"/>
      <c r="F248" s="22"/>
      <c r="G248" s="23"/>
      <c r="H248" s="22"/>
      <c r="I248" s="10"/>
    </row>
    <row r="249">
      <c r="A249" s="11"/>
      <c r="B249" s="11"/>
      <c r="C249" s="11"/>
      <c r="D249" s="24"/>
      <c r="E249" s="25"/>
      <c r="F249" s="25"/>
      <c r="G249" s="26"/>
      <c r="H249" s="25"/>
      <c r="I249" s="15"/>
    </row>
    <row r="250">
      <c r="A250" s="6"/>
      <c r="B250" s="6"/>
      <c r="C250" s="6"/>
      <c r="D250" s="21"/>
      <c r="E250" s="22"/>
      <c r="F250" s="22"/>
      <c r="G250" s="23"/>
      <c r="H250" s="22"/>
      <c r="I250" s="10"/>
    </row>
    <row r="251">
      <c r="A251" s="11"/>
      <c r="B251" s="11"/>
      <c r="C251" s="11"/>
      <c r="D251" s="24"/>
      <c r="E251" s="25"/>
      <c r="F251" s="25"/>
      <c r="G251" s="26"/>
      <c r="H251" s="25"/>
      <c r="I251" s="15"/>
    </row>
    <row r="252">
      <c r="A252" s="6"/>
      <c r="B252" s="6"/>
      <c r="C252" s="6"/>
      <c r="D252" s="21"/>
      <c r="E252" s="22"/>
      <c r="F252" s="22"/>
      <c r="G252" s="23"/>
      <c r="H252" s="22"/>
      <c r="I252" s="10"/>
    </row>
    <row r="253">
      <c r="A253" s="11"/>
      <c r="B253" s="11"/>
      <c r="C253" s="11"/>
      <c r="D253" s="24"/>
      <c r="E253" s="25"/>
      <c r="F253" s="25"/>
      <c r="G253" s="26"/>
      <c r="H253" s="25"/>
      <c r="I253" s="15"/>
    </row>
    <row r="254">
      <c r="A254" s="6"/>
      <c r="B254" s="6"/>
      <c r="C254" s="6"/>
      <c r="D254" s="21"/>
      <c r="E254" s="22"/>
      <c r="F254" s="22"/>
      <c r="G254" s="23"/>
      <c r="H254" s="22"/>
      <c r="I254" s="10"/>
    </row>
    <row r="255">
      <c r="A255" s="11"/>
      <c r="B255" s="11"/>
      <c r="C255" s="11"/>
      <c r="D255" s="24"/>
      <c r="E255" s="25"/>
      <c r="F255" s="25"/>
      <c r="G255" s="26"/>
      <c r="H255" s="25"/>
      <c r="I255" s="15"/>
    </row>
    <row r="256">
      <c r="A256" s="6"/>
      <c r="B256" s="6"/>
      <c r="C256" s="6"/>
      <c r="D256" s="21"/>
      <c r="E256" s="22"/>
      <c r="F256" s="22"/>
      <c r="G256" s="23"/>
      <c r="H256" s="22"/>
      <c r="I256" s="10"/>
    </row>
    <row r="257">
      <c r="A257" s="11"/>
      <c r="B257" s="11"/>
      <c r="C257" s="11"/>
      <c r="D257" s="24"/>
      <c r="E257" s="25"/>
      <c r="F257" s="25"/>
      <c r="G257" s="26"/>
      <c r="H257" s="25"/>
      <c r="I257" s="15"/>
    </row>
    <row r="258">
      <c r="A258" s="6"/>
      <c r="B258" s="6"/>
      <c r="C258" s="6"/>
      <c r="D258" s="21"/>
      <c r="E258" s="22"/>
      <c r="F258" s="22"/>
      <c r="G258" s="23"/>
      <c r="H258" s="22"/>
      <c r="I258" s="10"/>
    </row>
    <row r="259">
      <c r="A259" s="11"/>
      <c r="B259" s="11"/>
      <c r="C259" s="11"/>
      <c r="D259" s="24"/>
      <c r="E259" s="25"/>
      <c r="F259" s="25"/>
      <c r="G259" s="26"/>
      <c r="H259" s="25"/>
      <c r="I259" s="15"/>
    </row>
    <row r="260">
      <c r="A260" s="6"/>
      <c r="B260" s="6"/>
      <c r="C260" s="6"/>
      <c r="D260" s="21"/>
      <c r="E260" s="22"/>
      <c r="F260" s="22"/>
      <c r="G260" s="23"/>
      <c r="H260" s="22"/>
      <c r="I260" s="10"/>
    </row>
    <row r="261">
      <c r="A261" s="11"/>
      <c r="B261" s="11"/>
      <c r="C261" s="11"/>
      <c r="D261" s="24"/>
      <c r="E261" s="25"/>
      <c r="F261" s="25"/>
      <c r="G261" s="26"/>
      <c r="H261" s="25"/>
      <c r="I261" s="15"/>
    </row>
    <row r="262">
      <c r="A262" s="6"/>
      <c r="B262" s="6"/>
      <c r="C262" s="6"/>
      <c r="D262" s="21"/>
      <c r="E262" s="22"/>
      <c r="F262" s="22"/>
      <c r="G262" s="23"/>
      <c r="H262" s="22"/>
      <c r="I262" s="10"/>
    </row>
    <row r="263">
      <c r="A263" s="11"/>
      <c r="B263" s="11"/>
      <c r="C263" s="11"/>
      <c r="D263" s="24"/>
      <c r="E263" s="25"/>
      <c r="F263" s="25"/>
      <c r="G263" s="26"/>
      <c r="H263" s="25"/>
      <c r="I263" s="15"/>
    </row>
    <row r="264">
      <c r="A264" s="6"/>
      <c r="B264" s="6"/>
      <c r="C264" s="6"/>
      <c r="D264" s="21"/>
      <c r="E264" s="22"/>
      <c r="F264" s="22"/>
      <c r="G264" s="23"/>
      <c r="H264" s="22"/>
      <c r="I264" s="10"/>
    </row>
    <row r="265">
      <c r="A265" s="11"/>
      <c r="B265" s="11"/>
      <c r="C265" s="11"/>
      <c r="D265" s="24"/>
      <c r="E265" s="25"/>
      <c r="F265" s="25"/>
      <c r="G265" s="26"/>
      <c r="H265" s="25"/>
      <c r="I265" s="15"/>
    </row>
    <row r="266">
      <c r="A266" s="6"/>
      <c r="B266" s="6"/>
      <c r="C266" s="6"/>
      <c r="D266" s="21"/>
      <c r="E266" s="22"/>
      <c r="F266" s="22"/>
      <c r="G266" s="23"/>
      <c r="H266" s="22"/>
      <c r="I266" s="10"/>
    </row>
    <row r="267">
      <c r="A267" s="11"/>
      <c r="B267" s="11"/>
      <c r="C267" s="11"/>
      <c r="D267" s="24"/>
      <c r="E267" s="25"/>
      <c r="F267" s="25"/>
      <c r="G267" s="26"/>
      <c r="H267" s="25"/>
      <c r="I267" s="15"/>
    </row>
    <row r="268">
      <c r="A268" s="6"/>
      <c r="B268" s="6"/>
      <c r="C268" s="6"/>
      <c r="D268" s="21"/>
      <c r="E268" s="22"/>
      <c r="F268" s="22"/>
      <c r="G268" s="23"/>
      <c r="H268" s="22"/>
      <c r="I268" s="10"/>
    </row>
    <row r="269">
      <c r="A269" s="11"/>
      <c r="B269" s="11"/>
      <c r="C269" s="11"/>
      <c r="D269" s="24"/>
      <c r="E269" s="25"/>
      <c r="F269" s="25"/>
      <c r="G269" s="26"/>
      <c r="H269" s="25"/>
      <c r="I269" s="15"/>
    </row>
    <row r="270">
      <c r="A270" s="6"/>
      <c r="B270" s="6"/>
      <c r="C270" s="6"/>
      <c r="D270" s="21"/>
      <c r="E270" s="22"/>
      <c r="F270" s="22"/>
      <c r="G270" s="23"/>
      <c r="H270" s="22"/>
      <c r="I270" s="10"/>
    </row>
    <row r="271">
      <c r="A271" s="11"/>
      <c r="B271" s="11"/>
      <c r="C271" s="11"/>
      <c r="D271" s="24"/>
      <c r="E271" s="25"/>
      <c r="F271" s="25"/>
      <c r="G271" s="26"/>
      <c r="H271" s="25"/>
      <c r="I271" s="15"/>
    </row>
    <row r="272">
      <c r="A272" s="6"/>
      <c r="B272" s="6"/>
      <c r="C272" s="6"/>
      <c r="D272" s="21"/>
      <c r="E272" s="22"/>
      <c r="F272" s="22"/>
      <c r="G272" s="23"/>
      <c r="H272" s="22"/>
      <c r="I272" s="10"/>
    </row>
    <row r="273">
      <c r="A273" s="11"/>
      <c r="B273" s="11"/>
      <c r="C273" s="11"/>
      <c r="D273" s="24"/>
      <c r="E273" s="25"/>
      <c r="F273" s="25"/>
      <c r="G273" s="26"/>
      <c r="H273" s="25"/>
      <c r="I273" s="15"/>
    </row>
    <row r="274">
      <c r="A274" s="6"/>
      <c r="B274" s="6"/>
      <c r="C274" s="6"/>
      <c r="D274" s="21"/>
      <c r="E274" s="22"/>
      <c r="F274" s="22"/>
      <c r="G274" s="23"/>
      <c r="H274" s="22"/>
      <c r="I274" s="10"/>
    </row>
    <row r="275">
      <c r="A275" s="11"/>
      <c r="B275" s="11"/>
      <c r="C275" s="11"/>
      <c r="D275" s="24"/>
      <c r="E275" s="25"/>
      <c r="F275" s="25"/>
      <c r="G275" s="26"/>
      <c r="H275" s="25"/>
      <c r="I275" s="15"/>
    </row>
    <row r="276">
      <c r="A276" s="6"/>
      <c r="B276" s="6"/>
      <c r="C276" s="6"/>
      <c r="D276" s="21"/>
      <c r="E276" s="22"/>
      <c r="F276" s="22"/>
      <c r="G276" s="23"/>
      <c r="H276" s="22"/>
      <c r="I276" s="10"/>
    </row>
    <row r="277">
      <c r="A277" s="11"/>
      <c r="B277" s="11"/>
      <c r="C277" s="11"/>
      <c r="D277" s="24"/>
      <c r="E277" s="25"/>
      <c r="F277" s="25"/>
      <c r="G277" s="26"/>
      <c r="H277" s="25"/>
      <c r="I277" s="15"/>
    </row>
    <row r="278">
      <c r="A278" s="6"/>
      <c r="B278" s="6"/>
      <c r="C278" s="6"/>
      <c r="D278" s="21"/>
      <c r="E278" s="22"/>
      <c r="F278" s="22"/>
      <c r="G278" s="23"/>
      <c r="H278" s="22"/>
      <c r="I278" s="10"/>
    </row>
    <row r="279">
      <c r="A279" s="11"/>
      <c r="B279" s="11"/>
      <c r="C279" s="11"/>
      <c r="D279" s="24"/>
      <c r="E279" s="25"/>
      <c r="F279" s="25"/>
      <c r="G279" s="26"/>
      <c r="H279" s="25"/>
      <c r="I279" s="15"/>
    </row>
    <row r="280">
      <c r="A280" s="6"/>
      <c r="B280" s="6"/>
      <c r="C280" s="6"/>
      <c r="D280" s="21"/>
      <c r="E280" s="22"/>
      <c r="F280" s="22"/>
      <c r="G280" s="23"/>
      <c r="H280" s="22"/>
      <c r="I280" s="10"/>
    </row>
    <row r="281">
      <c r="A281" s="11"/>
      <c r="B281" s="11"/>
      <c r="C281" s="11"/>
      <c r="D281" s="24"/>
      <c r="E281" s="25"/>
      <c r="F281" s="25"/>
      <c r="G281" s="26"/>
      <c r="H281" s="25"/>
      <c r="I281" s="15"/>
    </row>
    <row r="282">
      <c r="A282" s="6"/>
      <c r="B282" s="6"/>
      <c r="C282" s="6"/>
      <c r="D282" s="21"/>
      <c r="E282" s="22"/>
      <c r="F282" s="22"/>
      <c r="G282" s="23"/>
      <c r="H282" s="22"/>
      <c r="I282" s="10"/>
    </row>
    <row r="283">
      <c r="A283" s="11"/>
      <c r="B283" s="11"/>
      <c r="C283" s="11"/>
      <c r="D283" s="24"/>
      <c r="E283" s="25"/>
      <c r="F283" s="25"/>
      <c r="G283" s="26"/>
      <c r="H283" s="25"/>
      <c r="I283" s="15"/>
    </row>
    <row r="284">
      <c r="A284" s="6"/>
      <c r="B284" s="6"/>
      <c r="C284" s="6"/>
      <c r="D284" s="21"/>
      <c r="E284" s="22"/>
      <c r="F284" s="22"/>
      <c r="G284" s="23"/>
      <c r="H284" s="22"/>
      <c r="I284" s="10"/>
    </row>
    <row r="285">
      <c r="A285" s="11"/>
      <c r="B285" s="11"/>
      <c r="C285" s="11"/>
      <c r="D285" s="24"/>
      <c r="E285" s="25"/>
      <c r="F285" s="25"/>
      <c r="G285" s="26"/>
      <c r="H285" s="25"/>
      <c r="I285" s="15"/>
    </row>
    <row r="286">
      <c r="A286" s="6"/>
      <c r="B286" s="6"/>
      <c r="C286" s="6"/>
      <c r="D286" s="21"/>
      <c r="E286" s="22"/>
      <c r="F286" s="22"/>
      <c r="G286" s="23"/>
      <c r="H286" s="22"/>
      <c r="I286" s="10"/>
    </row>
    <row r="287">
      <c r="A287" s="11"/>
      <c r="B287" s="11"/>
      <c r="C287" s="11"/>
      <c r="D287" s="24"/>
      <c r="E287" s="25"/>
      <c r="F287" s="25"/>
      <c r="G287" s="26"/>
      <c r="H287" s="25"/>
      <c r="I287" s="15"/>
    </row>
    <row r="288">
      <c r="A288" s="6"/>
      <c r="B288" s="6"/>
      <c r="C288" s="6"/>
      <c r="D288" s="21"/>
      <c r="E288" s="22"/>
      <c r="F288" s="22"/>
      <c r="G288" s="23"/>
      <c r="H288" s="22"/>
      <c r="I288" s="10"/>
    </row>
    <row r="289">
      <c r="A289" s="11"/>
      <c r="B289" s="11"/>
      <c r="C289" s="11"/>
      <c r="D289" s="24"/>
      <c r="E289" s="25"/>
      <c r="F289" s="25"/>
      <c r="G289" s="26"/>
      <c r="H289" s="25"/>
      <c r="I289" s="15"/>
    </row>
    <row r="290">
      <c r="A290" s="6"/>
      <c r="B290" s="6"/>
      <c r="C290" s="6"/>
      <c r="D290" s="21"/>
      <c r="E290" s="22"/>
      <c r="F290" s="22"/>
      <c r="G290" s="23"/>
      <c r="H290" s="22"/>
      <c r="I290" s="10"/>
    </row>
    <row r="291">
      <c r="A291" s="11"/>
      <c r="B291" s="11"/>
      <c r="C291" s="11"/>
      <c r="D291" s="24"/>
      <c r="E291" s="25"/>
      <c r="F291" s="25"/>
      <c r="G291" s="26"/>
      <c r="H291" s="25"/>
      <c r="I291" s="15"/>
    </row>
    <row r="292">
      <c r="A292" s="6"/>
      <c r="B292" s="6"/>
      <c r="C292" s="6"/>
      <c r="D292" s="21"/>
      <c r="E292" s="22"/>
      <c r="F292" s="22"/>
      <c r="G292" s="23"/>
      <c r="H292" s="22"/>
      <c r="I292" s="10"/>
    </row>
    <row r="293">
      <c r="A293" s="11"/>
      <c r="B293" s="11"/>
      <c r="C293" s="11"/>
      <c r="D293" s="24"/>
      <c r="E293" s="25"/>
      <c r="F293" s="25"/>
      <c r="G293" s="26"/>
      <c r="H293" s="25"/>
      <c r="I293" s="15"/>
    </row>
    <row r="294">
      <c r="A294" s="6"/>
      <c r="B294" s="6"/>
      <c r="C294" s="6"/>
      <c r="D294" s="21"/>
      <c r="E294" s="22"/>
      <c r="F294" s="22"/>
      <c r="G294" s="23"/>
      <c r="H294" s="22"/>
      <c r="I294" s="10"/>
    </row>
    <row r="295">
      <c r="A295" s="11"/>
      <c r="B295" s="11"/>
      <c r="C295" s="11"/>
      <c r="D295" s="24"/>
      <c r="E295" s="25"/>
      <c r="F295" s="25"/>
      <c r="G295" s="26"/>
      <c r="H295" s="25"/>
      <c r="I295" s="15"/>
    </row>
    <row r="296">
      <c r="A296" s="6"/>
      <c r="B296" s="6"/>
      <c r="C296" s="6"/>
      <c r="D296" s="21"/>
      <c r="E296" s="22"/>
      <c r="F296" s="22"/>
      <c r="G296" s="23"/>
      <c r="H296" s="22"/>
      <c r="I296" s="10"/>
    </row>
    <row r="297">
      <c r="A297" s="11"/>
      <c r="B297" s="11"/>
      <c r="C297" s="11"/>
      <c r="D297" s="24"/>
      <c r="E297" s="25"/>
      <c r="F297" s="25"/>
      <c r="G297" s="26"/>
      <c r="H297" s="25"/>
      <c r="I297" s="15"/>
    </row>
    <row r="298">
      <c r="A298" s="6"/>
      <c r="B298" s="6"/>
      <c r="C298" s="6"/>
      <c r="D298" s="21"/>
      <c r="E298" s="22"/>
      <c r="F298" s="22"/>
      <c r="G298" s="23"/>
      <c r="H298" s="22"/>
      <c r="I298" s="10"/>
    </row>
    <row r="299">
      <c r="A299" s="11"/>
      <c r="B299" s="11"/>
      <c r="C299" s="11"/>
      <c r="D299" s="24"/>
      <c r="E299" s="25"/>
      <c r="F299" s="25"/>
      <c r="G299" s="26"/>
      <c r="H299" s="25"/>
      <c r="I299" s="15"/>
    </row>
    <row r="300">
      <c r="A300" s="6"/>
      <c r="B300" s="6"/>
      <c r="C300" s="6"/>
      <c r="D300" s="21"/>
      <c r="E300" s="22"/>
      <c r="F300" s="22"/>
      <c r="G300" s="23"/>
      <c r="H300" s="22"/>
      <c r="I300" s="10"/>
    </row>
    <row r="301">
      <c r="A301" s="11"/>
      <c r="B301" s="11"/>
      <c r="C301" s="11"/>
      <c r="D301" s="24"/>
      <c r="E301" s="25"/>
      <c r="F301" s="25"/>
      <c r="G301" s="26"/>
      <c r="H301" s="25"/>
      <c r="I301" s="15"/>
    </row>
    <row r="302">
      <c r="A302" s="6"/>
      <c r="B302" s="6"/>
      <c r="C302" s="6"/>
      <c r="D302" s="21"/>
      <c r="E302" s="22"/>
      <c r="F302" s="22"/>
      <c r="G302" s="23"/>
      <c r="H302" s="22"/>
      <c r="I302" s="10"/>
    </row>
    <row r="303">
      <c r="A303" s="11"/>
      <c r="B303" s="11"/>
      <c r="C303" s="11"/>
      <c r="D303" s="24"/>
      <c r="E303" s="25"/>
      <c r="F303" s="25"/>
      <c r="G303" s="26"/>
      <c r="H303" s="25"/>
      <c r="I303" s="15"/>
    </row>
    <row r="304">
      <c r="A304" s="6"/>
      <c r="B304" s="6"/>
      <c r="C304" s="6"/>
      <c r="D304" s="21"/>
      <c r="E304" s="22"/>
      <c r="F304" s="22"/>
      <c r="G304" s="23"/>
      <c r="H304" s="22"/>
      <c r="I304" s="10"/>
    </row>
    <row r="305">
      <c r="A305" s="11"/>
      <c r="B305" s="11"/>
      <c r="C305" s="11"/>
      <c r="D305" s="24"/>
      <c r="E305" s="25"/>
      <c r="F305" s="25"/>
      <c r="G305" s="26"/>
      <c r="H305" s="25"/>
      <c r="I305" s="15"/>
    </row>
    <row r="306">
      <c r="A306" s="6"/>
      <c r="B306" s="6"/>
      <c r="C306" s="6"/>
      <c r="D306" s="21"/>
      <c r="E306" s="22"/>
      <c r="F306" s="22"/>
      <c r="G306" s="23"/>
      <c r="H306" s="22"/>
      <c r="I306" s="10"/>
    </row>
    <row r="307">
      <c r="A307" s="11"/>
      <c r="B307" s="11"/>
      <c r="C307" s="11"/>
      <c r="D307" s="24"/>
      <c r="E307" s="25"/>
      <c r="F307" s="25"/>
      <c r="G307" s="26"/>
      <c r="H307" s="25"/>
      <c r="I307" s="15"/>
    </row>
    <row r="308">
      <c r="A308" s="6"/>
      <c r="B308" s="6"/>
      <c r="C308" s="6"/>
      <c r="D308" s="21"/>
      <c r="E308" s="22"/>
      <c r="F308" s="22"/>
      <c r="G308" s="23"/>
      <c r="H308" s="22"/>
      <c r="I308" s="10"/>
    </row>
    <row r="309">
      <c r="A309" s="11"/>
      <c r="B309" s="11"/>
      <c r="C309" s="11"/>
      <c r="D309" s="24"/>
      <c r="E309" s="25"/>
      <c r="F309" s="25"/>
      <c r="G309" s="26"/>
      <c r="H309" s="25"/>
      <c r="I309" s="15"/>
    </row>
    <row r="310">
      <c r="A310" s="6"/>
      <c r="B310" s="6"/>
      <c r="C310" s="6"/>
      <c r="D310" s="21"/>
      <c r="E310" s="22"/>
      <c r="F310" s="22"/>
      <c r="G310" s="23"/>
      <c r="H310" s="22"/>
      <c r="I310" s="10"/>
    </row>
    <row r="311">
      <c r="A311" s="11"/>
      <c r="B311" s="11"/>
      <c r="C311" s="11"/>
      <c r="D311" s="24"/>
      <c r="E311" s="25"/>
      <c r="F311" s="25"/>
      <c r="G311" s="26"/>
      <c r="H311" s="25"/>
      <c r="I311" s="15"/>
    </row>
    <row r="312">
      <c r="A312" s="6"/>
      <c r="B312" s="6"/>
      <c r="C312" s="6"/>
      <c r="D312" s="21"/>
      <c r="E312" s="22"/>
      <c r="F312" s="22"/>
      <c r="G312" s="23"/>
      <c r="H312" s="22"/>
      <c r="I312" s="10"/>
    </row>
    <row r="313">
      <c r="A313" s="11"/>
      <c r="B313" s="11"/>
      <c r="C313" s="11"/>
      <c r="D313" s="24"/>
      <c r="E313" s="25"/>
      <c r="F313" s="25"/>
      <c r="G313" s="26"/>
      <c r="H313" s="25"/>
      <c r="I313" s="15"/>
    </row>
    <row r="314">
      <c r="A314" s="6"/>
      <c r="B314" s="6"/>
      <c r="C314" s="6"/>
      <c r="D314" s="21"/>
      <c r="E314" s="22"/>
      <c r="F314" s="22"/>
      <c r="G314" s="23"/>
      <c r="H314" s="22"/>
      <c r="I314" s="10"/>
    </row>
    <row r="315">
      <c r="A315" s="11"/>
      <c r="B315" s="11"/>
      <c r="C315" s="11"/>
      <c r="D315" s="24"/>
      <c r="E315" s="25"/>
      <c r="F315" s="25"/>
      <c r="G315" s="26"/>
      <c r="H315" s="25"/>
      <c r="I315" s="15"/>
    </row>
    <row r="316">
      <c r="A316" s="6"/>
      <c r="B316" s="6"/>
      <c r="C316" s="6"/>
      <c r="D316" s="21"/>
      <c r="E316" s="22"/>
      <c r="F316" s="22"/>
      <c r="G316" s="23"/>
      <c r="H316" s="22"/>
      <c r="I316" s="10"/>
    </row>
    <row r="317">
      <c r="A317" s="11"/>
      <c r="B317" s="11"/>
      <c r="C317" s="11"/>
      <c r="D317" s="24"/>
      <c r="E317" s="25"/>
      <c r="F317" s="25"/>
      <c r="G317" s="26"/>
      <c r="H317" s="25"/>
      <c r="I317" s="15"/>
    </row>
    <row r="318">
      <c r="A318" s="6"/>
      <c r="B318" s="6"/>
      <c r="C318" s="6"/>
      <c r="D318" s="21"/>
      <c r="E318" s="22"/>
      <c r="F318" s="22"/>
      <c r="G318" s="23"/>
      <c r="H318" s="22"/>
      <c r="I318" s="10"/>
    </row>
    <row r="319">
      <c r="A319" s="11"/>
      <c r="B319" s="11"/>
      <c r="C319" s="11"/>
      <c r="D319" s="24"/>
      <c r="E319" s="25"/>
      <c r="F319" s="25"/>
      <c r="G319" s="26"/>
      <c r="H319" s="25"/>
      <c r="I319" s="15"/>
    </row>
    <row r="320">
      <c r="A320" s="6"/>
      <c r="B320" s="6"/>
      <c r="C320" s="6"/>
      <c r="D320" s="21"/>
      <c r="E320" s="22"/>
      <c r="F320" s="22"/>
      <c r="G320" s="23"/>
      <c r="H320" s="22"/>
      <c r="I320" s="10"/>
    </row>
    <row r="321">
      <c r="A321" s="11"/>
      <c r="B321" s="11"/>
      <c r="C321" s="11"/>
      <c r="D321" s="24"/>
      <c r="E321" s="25"/>
      <c r="F321" s="25"/>
      <c r="G321" s="26"/>
      <c r="H321" s="25"/>
      <c r="I321" s="15"/>
    </row>
    <row r="322">
      <c r="A322" s="6"/>
      <c r="B322" s="6"/>
      <c r="C322" s="6"/>
      <c r="D322" s="21"/>
      <c r="E322" s="22"/>
      <c r="F322" s="22"/>
      <c r="G322" s="23"/>
      <c r="H322" s="22"/>
      <c r="I322" s="10"/>
    </row>
    <row r="323">
      <c r="A323" s="11"/>
      <c r="B323" s="11"/>
      <c r="C323" s="11"/>
      <c r="D323" s="24"/>
      <c r="E323" s="25"/>
      <c r="F323" s="25"/>
      <c r="G323" s="26"/>
      <c r="H323" s="25"/>
      <c r="I323" s="15"/>
    </row>
    <row r="324">
      <c r="A324" s="6"/>
      <c r="B324" s="6"/>
      <c r="C324" s="6"/>
      <c r="D324" s="21"/>
      <c r="E324" s="22"/>
      <c r="F324" s="22"/>
      <c r="G324" s="23"/>
      <c r="H324" s="22"/>
      <c r="I324" s="10"/>
    </row>
    <row r="325">
      <c r="A325" s="11"/>
      <c r="B325" s="11"/>
      <c r="C325" s="11"/>
      <c r="D325" s="24"/>
      <c r="E325" s="25"/>
      <c r="F325" s="25"/>
      <c r="G325" s="26"/>
      <c r="H325" s="25"/>
      <c r="I325" s="15"/>
    </row>
    <row r="326">
      <c r="A326" s="6"/>
      <c r="B326" s="6"/>
      <c r="C326" s="6"/>
      <c r="D326" s="21"/>
      <c r="E326" s="22"/>
      <c r="F326" s="22"/>
      <c r="G326" s="23"/>
      <c r="H326" s="22"/>
      <c r="I326" s="10"/>
    </row>
    <row r="327">
      <c r="A327" s="11"/>
      <c r="B327" s="11"/>
      <c r="C327" s="11"/>
      <c r="D327" s="24"/>
      <c r="E327" s="25"/>
      <c r="F327" s="25"/>
      <c r="G327" s="26"/>
      <c r="H327" s="25"/>
      <c r="I327" s="15"/>
    </row>
    <row r="328">
      <c r="A328" s="6"/>
      <c r="B328" s="6"/>
      <c r="C328" s="6"/>
      <c r="D328" s="21"/>
      <c r="E328" s="22"/>
      <c r="F328" s="22"/>
      <c r="G328" s="23"/>
      <c r="H328" s="22"/>
      <c r="I328" s="10"/>
    </row>
    <row r="329">
      <c r="A329" s="11"/>
      <c r="B329" s="11"/>
      <c r="C329" s="11"/>
      <c r="D329" s="24"/>
      <c r="E329" s="25"/>
      <c r="F329" s="25"/>
      <c r="G329" s="26"/>
      <c r="H329" s="25"/>
      <c r="I329" s="15"/>
    </row>
    <row r="330">
      <c r="A330" s="6"/>
      <c r="B330" s="6"/>
      <c r="C330" s="6"/>
      <c r="D330" s="21"/>
      <c r="E330" s="22"/>
      <c r="F330" s="22"/>
      <c r="G330" s="23"/>
      <c r="H330" s="22"/>
      <c r="I330" s="10"/>
    </row>
    <row r="331">
      <c r="A331" s="11"/>
      <c r="B331" s="11"/>
      <c r="C331" s="11"/>
      <c r="D331" s="24"/>
      <c r="E331" s="25"/>
      <c r="F331" s="25"/>
      <c r="G331" s="26"/>
      <c r="H331" s="25"/>
      <c r="I331" s="15"/>
    </row>
    <row r="332">
      <c r="A332" s="6"/>
      <c r="B332" s="6"/>
      <c r="C332" s="6"/>
      <c r="D332" s="21"/>
      <c r="E332" s="22"/>
      <c r="F332" s="22"/>
      <c r="G332" s="23"/>
      <c r="H332" s="22"/>
      <c r="I332" s="10"/>
    </row>
    <row r="333">
      <c r="A333" s="11"/>
      <c r="B333" s="11"/>
      <c r="C333" s="11"/>
      <c r="D333" s="24"/>
      <c r="E333" s="25"/>
      <c r="F333" s="25"/>
      <c r="G333" s="26"/>
      <c r="H333" s="25"/>
      <c r="I333" s="15"/>
    </row>
    <row r="334">
      <c r="A334" s="6"/>
      <c r="B334" s="6"/>
      <c r="C334" s="6"/>
      <c r="D334" s="21"/>
      <c r="E334" s="22"/>
      <c r="F334" s="22"/>
      <c r="G334" s="23"/>
      <c r="H334" s="22"/>
      <c r="I334" s="10"/>
    </row>
    <row r="335">
      <c r="A335" s="11"/>
      <c r="B335" s="11"/>
      <c r="C335" s="11"/>
      <c r="D335" s="24"/>
      <c r="E335" s="25"/>
      <c r="F335" s="25"/>
      <c r="G335" s="26"/>
      <c r="H335" s="25"/>
      <c r="I335" s="15"/>
    </row>
    <row r="336">
      <c r="A336" s="6"/>
      <c r="B336" s="6"/>
      <c r="C336" s="6"/>
      <c r="D336" s="21"/>
      <c r="E336" s="22"/>
      <c r="F336" s="22"/>
      <c r="G336" s="23"/>
      <c r="H336" s="22"/>
      <c r="I336" s="10"/>
    </row>
    <row r="337">
      <c r="A337" s="11"/>
      <c r="B337" s="11"/>
      <c r="C337" s="11"/>
      <c r="D337" s="24"/>
      <c r="E337" s="25"/>
      <c r="F337" s="25"/>
      <c r="G337" s="26"/>
      <c r="H337" s="25"/>
      <c r="I337" s="15"/>
    </row>
    <row r="338">
      <c r="A338" s="6"/>
      <c r="B338" s="6"/>
      <c r="C338" s="6"/>
      <c r="D338" s="21"/>
      <c r="E338" s="22"/>
      <c r="F338" s="22"/>
      <c r="G338" s="23"/>
      <c r="H338" s="22"/>
      <c r="I338" s="10"/>
    </row>
    <row r="339">
      <c r="A339" s="11"/>
      <c r="B339" s="11"/>
      <c r="C339" s="11"/>
      <c r="D339" s="24"/>
      <c r="E339" s="25"/>
      <c r="F339" s="25"/>
      <c r="G339" s="26"/>
      <c r="H339" s="25"/>
      <c r="I339" s="15"/>
    </row>
    <row r="340">
      <c r="A340" s="6"/>
      <c r="B340" s="6"/>
      <c r="C340" s="6"/>
      <c r="D340" s="21"/>
      <c r="E340" s="22"/>
      <c r="F340" s="22"/>
      <c r="G340" s="23"/>
      <c r="H340" s="22"/>
      <c r="I340" s="10"/>
    </row>
    <row r="341">
      <c r="A341" s="11"/>
      <c r="B341" s="11"/>
      <c r="C341" s="11"/>
      <c r="D341" s="24"/>
      <c r="E341" s="25"/>
      <c r="F341" s="25"/>
      <c r="G341" s="26"/>
      <c r="H341" s="25"/>
      <c r="I341" s="15"/>
    </row>
    <row r="342">
      <c r="A342" s="6"/>
      <c r="B342" s="6"/>
      <c r="C342" s="6"/>
      <c r="D342" s="21"/>
      <c r="E342" s="22"/>
      <c r="F342" s="22"/>
      <c r="G342" s="23"/>
      <c r="H342" s="22"/>
      <c r="I342" s="10"/>
    </row>
    <row r="343">
      <c r="A343" s="11"/>
      <c r="B343" s="11"/>
      <c r="C343" s="11"/>
      <c r="D343" s="24"/>
      <c r="E343" s="25"/>
      <c r="F343" s="25"/>
      <c r="G343" s="26"/>
      <c r="H343" s="25"/>
      <c r="I343" s="15"/>
    </row>
    <row r="344">
      <c r="A344" s="6"/>
      <c r="B344" s="6"/>
      <c r="C344" s="6"/>
      <c r="D344" s="21"/>
      <c r="E344" s="22"/>
      <c r="F344" s="22"/>
      <c r="G344" s="23"/>
      <c r="H344" s="22"/>
      <c r="I344" s="10"/>
    </row>
    <row r="345">
      <c r="A345" s="11"/>
      <c r="B345" s="11"/>
      <c r="C345" s="11"/>
      <c r="D345" s="24"/>
      <c r="E345" s="25"/>
      <c r="F345" s="25"/>
      <c r="G345" s="26"/>
      <c r="H345" s="25"/>
      <c r="I345" s="15"/>
    </row>
    <row r="346">
      <c r="A346" s="6"/>
      <c r="B346" s="6"/>
      <c r="C346" s="6"/>
      <c r="D346" s="21"/>
      <c r="E346" s="22"/>
      <c r="F346" s="22"/>
      <c r="G346" s="23"/>
      <c r="H346" s="22"/>
      <c r="I346" s="10"/>
    </row>
    <row r="347">
      <c r="A347" s="11"/>
      <c r="B347" s="11"/>
      <c r="C347" s="11"/>
      <c r="D347" s="24"/>
      <c r="E347" s="25"/>
      <c r="F347" s="25"/>
      <c r="G347" s="26"/>
      <c r="H347" s="25"/>
      <c r="I347" s="15"/>
    </row>
    <row r="348">
      <c r="A348" s="6"/>
      <c r="B348" s="6"/>
      <c r="C348" s="6"/>
      <c r="D348" s="21"/>
      <c r="E348" s="22"/>
      <c r="F348" s="22"/>
      <c r="G348" s="23"/>
      <c r="H348" s="22"/>
      <c r="I348" s="10"/>
    </row>
    <row r="349">
      <c r="A349" s="11"/>
      <c r="B349" s="11"/>
      <c r="C349" s="11"/>
      <c r="D349" s="24"/>
      <c r="E349" s="25"/>
      <c r="F349" s="25"/>
      <c r="G349" s="26"/>
      <c r="H349" s="25"/>
      <c r="I349" s="15"/>
    </row>
    <row r="350">
      <c r="A350" s="6"/>
      <c r="B350" s="6"/>
      <c r="C350" s="6"/>
      <c r="D350" s="21"/>
      <c r="E350" s="22"/>
      <c r="F350" s="22"/>
      <c r="G350" s="23"/>
      <c r="H350" s="22"/>
      <c r="I350" s="10"/>
    </row>
    <row r="351">
      <c r="A351" s="11"/>
      <c r="B351" s="11"/>
      <c r="C351" s="11"/>
      <c r="D351" s="24"/>
      <c r="E351" s="25"/>
      <c r="F351" s="25"/>
      <c r="G351" s="26"/>
      <c r="H351" s="25"/>
      <c r="I351" s="15"/>
    </row>
    <row r="352">
      <c r="A352" s="6"/>
      <c r="B352" s="6"/>
      <c r="C352" s="6"/>
      <c r="D352" s="21"/>
      <c r="E352" s="22"/>
      <c r="F352" s="22"/>
      <c r="G352" s="23"/>
      <c r="H352" s="22"/>
      <c r="I352" s="10"/>
    </row>
    <row r="353">
      <c r="A353" s="11"/>
      <c r="B353" s="11"/>
      <c r="C353" s="11"/>
      <c r="D353" s="24"/>
      <c r="E353" s="25"/>
      <c r="F353" s="25"/>
      <c r="G353" s="26"/>
      <c r="H353" s="25"/>
      <c r="I353" s="15"/>
    </row>
    <row r="354">
      <c r="A354" s="6"/>
      <c r="B354" s="6"/>
      <c r="C354" s="6"/>
      <c r="D354" s="21"/>
      <c r="E354" s="22"/>
      <c r="F354" s="22"/>
      <c r="G354" s="23"/>
      <c r="H354" s="22"/>
      <c r="I354" s="10"/>
    </row>
    <row r="355">
      <c r="A355" s="11"/>
      <c r="B355" s="11"/>
      <c r="C355" s="11"/>
      <c r="D355" s="24"/>
      <c r="E355" s="25"/>
      <c r="F355" s="25"/>
      <c r="G355" s="26"/>
      <c r="H355" s="25"/>
      <c r="I355" s="15"/>
    </row>
    <row r="356">
      <c r="A356" s="6"/>
      <c r="B356" s="6"/>
      <c r="C356" s="6"/>
      <c r="D356" s="21"/>
      <c r="E356" s="22"/>
      <c r="F356" s="22"/>
      <c r="G356" s="23"/>
      <c r="H356" s="22"/>
      <c r="I356" s="10"/>
    </row>
    <row r="357">
      <c r="A357" s="11"/>
      <c r="B357" s="11"/>
      <c r="C357" s="11"/>
      <c r="D357" s="24"/>
      <c r="E357" s="25"/>
      <c r="F357" s="25"/>
      <c r="G357" s="26"/>
      <c r="H357" s="25"/>
      <c r="I357" s="15"/>
    </row>
    <row r="358">
      <c r="A358" s="6"/>
      <c r="B358" s="6"/>
      <c r="C358" s="6"/>
      <c r="D358" s="21"/>
      <c r="E358" s="22"/>
      <c r="F358" s="22"/>
      <c r="G358" s="23"/>
      <c r="H358" s="22"/>
      <c r="I358" s="10"/>
    </row>
    <row r="359">
      <c r="A359" s="11"/>
      <c r="B359" s="11"/>
      <c r="C359" s="11"/>
      <c r="D359" s="24"/>
      <c r="E359" s="25"/>
      <c r="F359" s="25"/>
      <c r="G359" s="26"/>
      <c r="H359" s="25"/>
      <c r="I359" s="15"/>
    </row>
    <row r="360">
      <c r="A360" s="6"/>
      <c r="B360" s="6"/>
      <c r="C360" s="6"/>
      <c r="D360" s="21"/>
      <c r="E360" s="22"/>
      <c r="F360" s="22"/>
      <c r="G360" s="23"/>
      <c r="H360" s="22"/>
      <c r="I360" s="10"/>
    </row>
    <row r="361">
      <c r="A361" s="11"/>
      <c r="B361" s="11"/>
      <c r="C361" s="11"/>
      <c r="D361" s="24"/>
      <c r="E361" s="25"/>
      <c r="F361" s="25"/>
      <c r="G361" s="26"/>
      <c r="H361" s="25"/>
      <c r="I361" s="15"/>
    </row>
    <row r="362">
      <c r="A362" s="6"/>
      <c r="B362" s="6"/>
      <c r="C362" s="6"/>
      <c r="D362" s="21"/>
      <c r="E362" s="22"/>
      <c r="F362" s="22"/>
      <c r="G362" s="23"/>
      <c r="H362" s="22"/>
      <c r="I362" s="10"/>
    </row>
    <row r="363">
      <c r="A363" s="11"/>
      <c r="B363" s="11"/>
      <c r="C363" s="11"/>
      <c r="D363" s="24"/>
      <c r="E363" s="25"/>
      <c r="F363" s="25"/>
      <c r="G363" s="26"/>
      <c r="H363" s="25"/>
      <c r="I363" s="15"/>
    </row>
    <row r="364">
      <c r="A364" s="6"/>
      <c r="B364" s="6"/>
      <c r="C364" s="6"/>
      <c r="D364" s="21"/>
      <c r="E364" s="22"/>
      <c r="F364" s="22"/>
      <c r="G364" s="23"/>
      <c r="H364" s="22"/>
      <c r="I364" s="10"/>
    </row>
    <row r="365">
      <c r="A365" s="11"/>
      <c r="B365" s="11"/>
      <c r="C365" s="11"/>
      <c r="D365" s="24"/>
      <c r="E365" s="25"/>
      <c r="F365" s="25"/>
      <c r="G365" s="26"/>
      <c r="H365" s="25"/>
      <c r="I365" s="15"/>
    </row>
    <row r="366">
      <c r="A366" s="6"/>
      <c r="B366" s="6"/>
      <c r="C366" s="6"/>
      <c r="D366" s="21"/>
      <c r="E366" s="22"/>
      <c r="F366" s="22"/>
      <c r="G366" s="23"/>
      <c r="H366" s="22"/>
      <c r="I366" s="10"/>
    </row>
    <row r="367">
      <c r="A367" s="11"/>
      <c r="B367" s="11"/>
      <c r="C367" s="11"/>
      <c r="D367" s="24"/>
      <c r="E367" s="25"/>
      <c r="F367" s="25"/>
      <c r="G367" s="26"/>
      <c r="H367" s="25"/>
      <c r="I367" s="15"/>
    </row>
    <row r="368">
      <c r="A368" s="6"/>
      <c r="B368" s="6"/>
      <c r="C368" s="6"/>
      <c r="D368" s="21"/>
      <c r="E368" s="22"/>
      <c r="F368" s="22"/>
      <c r="G368" s="23"/>
      <c r="H368" s="22"/>
      <c r="I368" s="10"/>
    </row>
    <row r="369">
      <c r="A369" s="11"/>
      <c r="B369" s="11"/>
      <c r="C369" s="11"/>
      <c r="D369" s="24"/>
      <c r="E369" s="25"/>
      <c r="F369" s="25"/>
      <c r="G369" s="26"/>
      <c r="H369" s="25"/>
      <c r="I369" s="15"/>
    </row>
    <row r="370">
      <c r="A370" s="6"/>
      <c r="B370" s="6"/>
      <c r="C370" s="6"/>
      <c r="D370" s="21"/>
      <c r="E370" s="22"/>
      <c r="F370" s="22"/>
      <c r="G370" s="23"/>
      <c r="H370" s="22"/>
      <c r="I370" s="10"/>
    </row>
    <row r="371">
      <c r="A371" s="11"/>
      <c r="B371" s="11"/>
      <c r="C371" s="11"/>
      <c r="D371" s="24"/>
      <c r="E371" s="25"/>
      <c r="F371" s="25"/>
      <c r="G371" s="26"/>
      <c r="H371" s="25"/>
      <c r="I371" s="15"/>
    </row>
    <row r="372">
      <c r="A372" s="6"/>
      <c r="B372" s="6"/>
      <c r="C372" s="6"/>
      <c r="D372" s="21"/>
      <c r="E372" s="22"/>
      <c r="F372" s="22"/>
      <c r="G372" s="23"/>
      <c r="H372" s="22"/>
      <c r="I372" s="10"/>
    </row>
    <row r="373">
      <c r="A373" s="11"/>
      <c r="B373" s="11"/>
      <c r="C373" s="11"/>
      <c r="D373" s="24"/>
      <c r="E373" s="25"/>
      <c r="F373" s="25"/>
      <c r="G373" s="26"/>
      <c r="H373" s="25"/>
      <c r="I373" s="15"/>
    </row>
    <row r="374">
      <c r="A374" s="6"/>
      <c r="B374" s="6"/>
      <c r="C374" s="6"/>
      <c r="D374" s="21"/>
      <c r="E374" s="22"/>
      <c r="F374" s="22"/>
      <c r="G374" s="23"/>
      <c r="H374" s="22"/>
      <c r="I374" s="10"/>
    </row>
    <row r="375">
      <c r="A375" s="11"/>
      <c r="B375" s="11"/>
      <c r="C375" s="11"/>
      <c r="D375" s="24"/>
      <c r="E375" s="25"/>
      <c r="F375" s="25"/>
      <c r="G375" s="26"/>
      <c r="H375" s="25"/>
      <c r="I375" s="15"/>
    </row>
    <row r="376">
      <c r="A376" s="6"/>
      <c r="B376" s="6"/>
      <c r="C376" s="6"/>
      <c r="D376" s="21"/>
      <c r="E376" s="22"/>
      <c r="F376" s="22"/>
      <c r="G376" s="23"/>
      <c r="H376" s="22"/>
      <c r="I376" s="10"/>
    </row>
    <row r="377">
      <c r="A377" s="11"/>
      <c r="B377" s="11"/>
      <c r="C377" s="11"/>
      <c r="D377" s="24"/>
      <c r="E377" s="25"/>
      <c r="F377" s="25"/>
      <c r="G377" s="26"/>
      <c r="H377" s="25"/>
      <c r="I377" s="15"/>
    </row>
    <row r="378">
      <c r="A378" s="6"/>
      <c r="B378" s="6"/>
      <c r="C378" s="6"/>
      <c r="D378" s="21"/>
      <c r="E378" s="22"/>
      <c r="F378" s="22"/>
      <c r="G378" s="23"/>
      <c r="H378" s="22"/>
      <c r="I378" s="10"/>
    </row>
    <row r="379">
      <c r="A379" s="11"/>
      <c r="B379" s="11"/>
      <c r="C379" s="11"/>
      <c r="D379" s="24"/>
      <c r="E379" s="25"/>
      <c r="F379" s="25"/>
      <c r="G379" s="26"/>
      <c r="H379" s="25"/>
      <c r="I379" s="15"/>
    </row>
    <row r="380">
      <c r="A380" s="6"/>
      <c r="B380" s="6"/>
      <c r="C380" s="6"/>
      <c r="D380" s="21"/>
      <c r="E380" s="22"/>
      <c r="F380" s="22"/>
      <c r="G380" s="23"/>
      <c r="H380" s="22"/>
      <c r="I380" s="10"/>
    </row>
    <row r="381">
      <c r="A381" s="11"/>
      <c r="B381" s="11"/>
      <c r="C381" s="11"/>
      <c r="D381" s="24"/>
      <c r="E381" s="25"/>
      <c r="F381" s="25"/>
      <c r="G381" s="26"/>
      <c r="H381" s="25"/>
      <c r="I381" s="15"/>
    </row>
    <row r="382">
      <c r="A382" s="6"/>
      <c r="B382" s="6"/>
      <c r="C382" s="6"/>
      <c r="D382" s="21"/>
      <c r="E382" s="22"/>
      <c r="F382" s="22"/>
      <c r="G382" s="23"/>
      <c r="H382" s="22"/>
      <c r="I382" s="10"/>
    </row>
    <row r="383">
      <c r="A383" s="11"/>
      <c r="B383" s="11"/>
      <c r="C383" s="11"/>
      <c r="D383" s="24"/>
      <c r="E383" s="25"/>
      <c r="F383" s="25"/>
      <c r="G383" s="26"/>
      <c r="H383" s="25"/>
      <c r="I383" s="15"/>
    </row>
    <row r="384">
      <c r="A384" s="6"/>
      <c r="B384" s="6"/>
      <c r="C384" s="6"/>
      <c r="D384" s="21"/>
      <c r="E384" s="22"/>
      <c r="F384" s="22"/>
      <c r="G384" s="23"/>
      <c r="H384" s="22"/>
      <c r="I384" s="10"/>
    </row>
    <row r="385">
      <c r="A385" s="11"/>
      <c r="B385" s="11"/>
      <c r="C385" s="11"/>
      <c r="D385" s="24"/>
      <c r="E385" s="25"/>
      <c r="F385" s="25"/>
      <c r="G385" s="26"/>
      <c r="H385" s="25"/>
      <c r="I385" s="15"/>
    </row>
    <row r="386">
      <c r="A386" s="6"/>
      <c r="B386" s="6"/>
      <c r="C386" s="6"/>
      <c r="D386" s="21"/>
      <c r="E386" s="22"/>
      <c r="F386" s="22"/>
      <c r="G386" s="23"/>
      <c r="H386" s="22"/>
      <c r="I386" s="10"/>
    </row>
    <row r="387">
      <c r="A387" s="11"/>
      <c r="B387" s="11"/>
      <c r="C387" s="11"/>
      <c r="D387" s="24"/>
      <c r="E387" s="25"/>
      <c r="F387" s="25"/>
      <c r="G387" s="26"/>
      <c r="H387" s="25"/>
      <c r="I387" s="15"/>
    </row>
    <row r="388">
      <c r="A388" s="6"/>
      <c r="B388" s="6"/>
      <c r="C388" s="6"/>
      <c r="D388" s="21"/>
      <c r="E388" s="22"/>
      <c r="F388" s="22"/>
      <c r="G388" s="23"/>
      <c r="H388" s="22"/>
      <c r="I388" s="10"/>
    </row>
    <row r="389">
      <c r="A389" s="11"/>
      <c r="B389" s="11"/>
      <c r="C389" s="11"/>
      <c r="D389" s="24"/>
      <c r="E389" s="25"/>
      <c r="F389" s="25"/>
      <c r="G389" s="26"/>
      <c r="H389" s="25"/>
      <c r="I389" s="15"/>
    </row>
    <row r="390">
      <c r="A390" s="6"/>
      <c r="B390" s="6"/>
      <c r="C390" s="6"/>
      <c r="D390" s="21"/>
      <c r="E390" s="22"/>
      <c r="F390" s="22"/>
      <c r="G390" s="23"/>
      <c r="H390" s="22"/>
      <c r="I390" s="10"/>
    </row>
    <row r="391">
      <c r="A391" s="11"/>
      <c r="B391" s="11"/>
      <c r="C391" s="11"/>
      <c r="D391" s="24"/>
      <c r="E391" s="25"/>
      <c r="F391" s="25"/>
      <c r="G391" s="26"/>
      <c r="H391" s="25"/>
      <c r="I391" s="15"/>
    </row>
    <row r="392">
      <c r="A392" s="6"/>
      <c r="B392" s="6"/>
      <c r="C392" s="6"/>
      <c r="D392" s="21"/>
      <c r="E392" s="22"/>
      <c r="F392" s="22"/>
      <c r="G392" s="23"/>
      <c r="H392" s="22"/>
      <c r="I392" s="10"/>
    </row>
    <row r="393">
      <c r="A393" s="11"/>
      <c r="B393" s="11"/>
      <c r="C393" s="11"/>
      <c r="D393" s="24"/>
      <c r="E393" s="25"/>
      <c r="F393" s="25"/>
      <c r="G393" s="26"/>
      <c r="H393" s="25"/>
      <c r="I393" s="15"/>
    </row>
    <row r="394">
      <c r="A394" s="6"/>
      <c r="B394" s="6"/>
      <c r="C394" s="6"/>
      <c r="D394" s="21"/>
      <c r="E394" s="22"/>
      <c r="F394" s="22"/>
      <c r="G394" s="23"/>
      <c r="H394" s="22"/>
      <c r="I394" s="10"/>
    </row>
    <row r="395">
      <c r="A395" s="11"/>
      <c r="B395" s="11"/>
      <c r="C395" s="11"/>
      <c r="D395" s="24"/>
      <c r="E395" s="25"/>
      <c r="F395" s="25"/>
      <c r="G395" s="26"/>
      <c r="H395" s="25"/>
      <c r="I395" s="15"/>
    </row>
    <row r="396">
      <c r="A396" s="6"/>
      <c r="B396" s="6"/>
      <c r="C396" s="6"/>
      <c r="D396" s="21"/>
      <c r="E396" s="22"/>
      <c r="F396" s="22"/>
      <c r="G396" s="23"/>
      <c r="H396" s="22"/>
      <c r="I396" s="10"/>
    </row>
    <row r="397">
      <c r="A397" s="11"/>
      <c r="B397" s="11"/>
      <c r="C397" s="11"/>
      <c r="D397" s="24"/>
      <c r="E397" s="25"/>
      <c r="F397" s="25"/>
      <c r="G397" s="26"/>
      <c r="H397" s="25"/>
      <c r="I397" s="15"/>
    </row>
    <row r="398">
      <c r="A398" s="6"/>
      <c r="B398" s="6"/>
      <c r="C398" s="6"/>
      <c r="D398" s="21"/>
      <c r="E398" s="22"/>
      <c r="F398" s="22"/>
      <c r="G398" s="23"/>
      <c r="H398" s="22"/>
      <c r="I398" s="10"/>
    </row>
    <row r="399">
      <c r="A399" s="11"/>
      <c r="B399" s="11"/>
      <c r="C399" s="11"/>
      <c r="D399" s="24"/>
      <c r="E399" s="25"/>
      <c r="F399" s="25"/>
      <c r="G399" s="26"/>
      <c r="H399" s="25"/>
      <c r="I399" s="15"/>
    </row>
    <row r="400">
      <c r="A400" s="6"/>
      <c r="B400" s="6"/>
      <c r="C400" s="6"/>
      <c r="D400" s="21"/>
      <c r="E400" s="22"/>
      <c r="F400" s="22"/>
      <c r="G400" s="23"/>
      <c r="H400" s="22"/>
      <c r="I400" s="10"/>
    </row>
    <row r="401">
      <c r="A401" s="11"/>
      <c r="B401" s="11"/>
      <c r="C401" s="11"/>
      <c r="D401" s="24"/>
      <c r="E401" s="25"/>
      <c r="F401" s="25"/>
      <c r="G401" s="26"/>
      <c r="H401" s="25"/>
      <c r="I401" s="15"/>
    </row>
    <row r="402">
      <c r="A402" s="6"/>
      <c r="B402" s="6"/>
      <c r="C402" s="6"/>
      <c r="D402" s="21"/>
      <c r="E402" s="22"/>
      <c r="F402" s="22"/>
      <c r="G402" s="23"/>
      <c r="H402" s="22"/>
      <c r="I402" s="10"/>
    </row>
    <row r="403">
      <c r="A403" s="11"/>
      <c r="B403" s="11"/>
      <c r="C403" s="11"/>
      <c r="D403" s="24"/>
      <c r="E403" s="25"/>
      <c r="F403" s="25"/>
      <c r="G403" s="26"/>
      <c r="H403" s="25"/>
      <c r="I403" s="15"/>
    </row>
    <row r="404">
      <c r="A404" s="6"/>
      <c r="B404" s="6"/>
      <c r="C404" s="6"/>
      <c r="D404" s="21"/>
      <c r="E404" s="22"/>
      <c r="F404" s="22"/>
      <c r="G404" s="23"/>
      <c r="H404" s="22"/>
      <c r="I404" s="10"/>
    </row>
    <row r="405">
      <c r="A405" s="11"/>
      <c r="B405" s="11"/>
      <c r="C405" s="11"/>
      <c r="D405" s="24"/>
      <c r="E405" s="25"/>
      <c r="F405" s="25"/>
      <c r="G405" s="26"/>
      <c r="H405" s="25"/>
      <c r="I405" s="15"/>
    </row>
    <row r="406">
      <c r="A406" s="6"/>
      <c r="B406" s="6"/>
      <c r="C406" s="6"/>
      <c r="D406" s="21"/>
      <c r="E406" s="22"/>
      <c r="F406" s="22"/>
      <c r="G406" s="23"/>
      <c r="H406" s="22"/>
      <c r="I406" s="10"/>
    </row>
    <row r="407">
      <c r="A407" s="11"/>
      <c r="B407" s="11"/>
      <c r="C407" s="11"/>
      <c r="D407" s="24"/>
      <c r="E407" s="25"/>
      <c r="F407" s="25"/>
      <c r="G407" s="26"/>
      <c r="H407" s="25"/>
      <c r="I407" s="15"/>
    </row>
    <row r="408">
      <c r="A408" s="6"/>
      <c r="B408" s="6"/>
      <c r="C408" s="6"/>
      <c r="D408" s="21"/>
      <c r="E408" s="22"/>
      <c r="F408" s="22"/>
      <c r="G408" s="23"/>
      <c r="H408" s="22"/>
      <c r="I408" s="10"/>
    </row>
    <row r="409">
      <c r="A409" s="11"/>
      <c r="B409" s="11"/>
      <c r="C409" s="11"/>
      <c r="D409" s="24"/>
      <c r="E409" s="25"/>
      <c r="F409" s="25"/>
      <c r="G409" s="26"/>
      <c r="H409" s="25"/>
      <c r="I409" s="15"/>
    </row>
    <row r="410">
      <c r="A410" s="6"/>
      <c r="B410" s="6"/>
      <c r="C410" s="6"/>
      <c r="D410" s="21"/>
      <c r="E410" s="22"/>
      <c r="F410" s="22"/>
      <c r="G410" s="23"/>
      <c r="H410" s="22"/>
      <c r="I410" s="10"/>
    </row>
    <row r="411">
      <c r="A411" s="11"/>
      <c r="B411" s="11"/>
      <c r="C411" s="11"/>
      <c r="D411" s="24"/>
      <c r="E411" s="25"/>
      <c r="F411" s="25"/>
      <c r="G411" s="26"/>
      <c r="H411" s="25"/>
      <c r="I411" s="15"/>
    </row>
    <row r="412">
      <c r="A412" s="6"/>
      <c r="B412" s="6"/>
      <c r="C412" s="6"/>
      <c r="D412" s="21"/>
      <c r="E412" s="22"/>
      <c r="F412" s="22"/>
      <c r="G412" s="23"/>
      <c r="H412" s="22"/>
      <c r="I412" s="10"/>
    </row>
    <row r="413">
      <c r="A413" s="11"/>
      <c r="B413" s="11"/>
      <c r="C413" s="11"/>
      <c r="D413" s="24"/>
      <c r="E413" s="25"/>
      <c r="F413" s="25"/>
      <c r="G413" s="26"/>
      <c r="H413" s="25"/>
      <c r="I413" s="15"/>
    </row>
    <row r="414">
      <c r="A414" s="6"/>
      <c r="B414" s="6"/>
      <c r="C414" s="6"/>
      <c r="D414" s="21"/>
      <c r="E414" s="22"/>
      <c r="F414" s="22"/>
      <c r="G414" s="23"/>
      <c r="H414" s="22"/>
      <c r="I414" s="10"/>
    </row>
    <row r="415">
      <c r="A415" s="11"/>
      <c r="B415" s="11"/>
      <c r="C415" s="11"/>
      <c r="D415" s="24"/>
      <c r="E415" s="25"/>
      <c r="F415" s="25"/>
      <c r="G415" s="26"/>
      <c r="H415" s="25"/>
      <c r="I415" s="15"/>
    </row>
    <row r="416">
      <c r="A416" s="6"/>
      <c r="B416" s="6"/>
      <c r="C416" s="6"/>
      <c r="D416" s="21"/>
      <c r="E416" s="22"/>
      <c r="F416" s="22"/>
      <c r="G416" s="23"/>
      <c r="H416" s="22"/>
      <c r="I416" s="10"/>
    </row>
    <row r="417">
      <c r="A417" s="11"/>
      <c r="B417" s="11"/>
      <c r="C417" s="11"/>
      <c r="D417" s="24"/>
      <c r="E417" s="25"/>
      <c r="F417" s="25"/>
      <c r="G417" s="26"/>
      <c r="H417" s="25"/>
      <c r="I417" s="15"/>
    </row>
    <row r="418">
      <c r="A418" s="6"/>
      <c r="B418" s="6"/>
      <c r="C418" s="6"/>
      <c r="D418" s="21"/>
      <c r="E418" s="22"/>
      <c r="F418" s="22"/>
      <c r="G418" s="23"/>
      <c r="H418" s="22"/>
      <c r="I418" s="10"/>
    </row>
    <row r="419">
      <c r="A419" s="11"/>
      <c r="B419" s="11"/>
      <c r="C419" s="11"/>
      <c r="D419" s="24"/>
      <c r="E419" s="25"/>
      <c r="F419" s="25"/>
      <c r="G419" s="26"/>
      <c r="H419" s="25"/>
      <c r="I419" s="15"/>
    </row>
    <row r="420">
      <c r="A420" s="6"/>
      <c r="B420" s="6"/>
      <c r="C420" s="6"/>
      <c r="D420" s="21"/>
      <c r="E420" s="22"/>
      <c r="F420" s="22"/>
      <c r="G420" s="23"/>
      <c r="H420" s="22"/>
      <c r="I420" s="10"/>
    </row>
    <row r="421">
      <c r="A421" s="11"/>
      <c r="B421" s="11"/>
      <c r="C421" s="11"/>
      <c r="D421" s="24"/>
      <c r="E421" s="25"/>
      <c r="F421" s="25"/>
      <c r="G421" s="26"/>
      <c r="H421" s="25"/>
      <c r="I421" s="15"/>
    </row>
    <row r="422">
      <c r="A422" s="6"/>
      <c r="B422" s="6"/>
      <c r="C422" s="6"/>
      <c r="D422" s="21"/>
      <c r="E422" s="22"/>
      <c r="F422" s="22"/>
      <c r="G422" s="23"/>
      <c r="H422" s="22"/>
      <c r="I422" s="10"/>
    </row>
    <row r="423">
      <c r="A423" s="11"/>
      <c r="B423" s="11"/>
      <c r="C423" s="11"/>
      <c r="D423" s="24"/>
      <c r="E423" s="25"/>
      <c r="F423" s="25"/>
      <c r="G423" s="26"/>
      <c r="H423" s="25"/>
      <c r="I423" s="15"/>
    </row>
    <row r="424">
      <c r="A424" s="6"/>
      <c r="B424" s="6"/>
      <c r="C424" s="6"/>
      <c r="D424" s="21"/>
      <c r="E424" s="22"/>
      <c r="F424" s="22"/>
      <c r="G424" s="23"/>
      <c r="H424" s="22"/>
      <c r="I424" s="10"/>
    </row>
    <row r="425">
      <c r="A425" s="11"/>
      <c r="B425" s="11"/>
      <c r="C425" s="11"/>
      <c r="D425" s="24"/>
      <c r="E425" s="25"/>
      <c r="F425" s="25"/>
      <c r="G425" s="26"/>
      <c r="H425" s="25"/>
      <c r="I425" s="15"/>
    </row>
    <row r="426">
      <c r="A426" s="6"/>
      <c r="B426" s="6"/>
      <c r="C426" s="6"/>
      <c r="D426" s="21"/>
      <c r="E426" s="22"/>
      <c r="F426" s="22"/>
      <c r="G426" s="23"/>
      <c r="H426" s="22"/>
      <c r="I426" s="10"/>
    </row>
    <row r="427">
      <c r="A427" s="11"/>
      <c r="B427" s="11"/>
      <c r="C427" s="11"/>
      <c r="D427" s="24"/>
      <c r="E427" s="25"/>
      <c r="F427" s="25"/>
      <c r="G427" s="26"/>
      <c r="H427" s="25"/>
      <c r="I427" s="15"/>
    </row>
    <row r="428">
      <c r="A428" s="6"/>
      <c r="B428" s="6"/>
      <c r="C428" s="6"/>
      <c r="D428" s="21"/>
      <c r="E428" s="22"/>
      <c r="F428" s="22"/>
      <c r="G428" s="23"/>
      <c r="H428" s="22"/>
      <c r="I428" s="10"/>
    </row>
    <row r="429">
      <c r="A429" s="11"/>
      <c r="B429" s="11"/>
      <c r="C429" s="11"/>
      <c r="D429" s="24"/>
      <c r="E429" s="25"/>
      <c r="F429" s="25"/>
      <c r="G429" s="26"/>
      <c r="H429" s="25"/>
      <c r="I429" s="15"/>
    </row>
    <row r="430">
      <c r="A430" s="6"/>
      <c r="B430" s="6"/>
      <c r="C430" s="6"/>
      <c r="D430" s="21"/>
      <c r="E430" s="22"/>
      <c r="F430" s="22"/>
      <c r="G430" s="23"/>
      <c r="H430" s="22"/>
      <c r="I430" s="10"/>
    </row>
    <row r="431">
      <c r="A431" s="11"/>
      <c r="B431" s="11"/>
      <c r="C431" s="11"/>
      <c r="D431" s="24"/>
      <c r="E431" s="25"/>
      <c r="F431" s="25"/>
      <c r="G431" s="26"/>
      <c r="H431" s="25"/>
      <c r="I431" s="15"/>
    </row>
    <row r="432">
      <c r="A432" s="6"/>
      <c r="B432" s="6"/>
      <c r="C432" s="6"/>
      <c r="D432" s="21"/>
      <c r="E432" s="22"/>
      <c r="F432" s="22"/>
      <c r="G432" s="23"/>
      <c r="H432" s="22"/>
      <c r="I432" s="10"/>
    </row>
    <row r="433">
      <c r="A433" s="11"/>
      <c r="B433" s="11"/>
      <c r="C433" s="11"/>
      <c r="D433" s="24"/>
      <c r="E433" s="25"/>
      <c r="F433" s="25"/>
      <c r="G433" s="26"/>
      <c r="H433" s="25"/>
      <c r="I433" s="15"/>
    </row>
    <row r="434">
      <c r="A434" s="6"/>
      <c r="B434" s="6"/>
      <c r="C434" s="6"/>
      <c r="D434" s="21"/>
      <c r="E434" s="22"/>
      <c r="F434" s="22"/>
      <c r="G434" s="23"/>
      <c r="H434" s="22"/>
      <c r="I434" s="10"/>
    </row>
    <row r="435">
      <c r="A435" s="11"/>
      <c r="B435" s="11"/>
      <c r="C435" s="11"/>
      <c r="D435" s="24"/>
      <c r="E435" s="25"/>
      <c r="F435" s="25"/>
      <c r="G435" s="26"/>
      <c r="H435" s="25"/>
      <c r="I435" s="15"/>
    </row>
    <row r="436">
      <c r="A436" s="6"/>
      <c r="B436" s="6"/>
      <c r="C436" s="6"/>
      <c r="D436" s="21"/>
      <c r="E436" s="22"/>
      <c r="F436" s="22"/>
      <c r="G436" s="23"/>
      <c r="H436" s="22"/>
      <c r="I436" s="10"/>
    </row>
    <row r="437">
      <c r="A437" s="11"/>
      <c r="B437" s="11"/>
      <c r="C437" s="11"/>
      <c r="D437" s="24"/>
      <c r="E437" s="25"/>
      <c r="F437" s="25"/>
      <c r="G437" s="26"/>
      <c r="H437" s="25"/>
      <c r="I437" s="15"/>
    </row>
    <row r="438">
      <c r="A438" s="6"/>
      <c r="B438" s="6"/>
      <c r="C438" s="6"/>
      <c r="D438" s="21"/>
      <c r="E438" s="22"/>
      <c r="F438" s="22"/>
      <c r="G438" s="23"/>
      <c r="H438" s="22"/>
      <c r="I438" s="10"/>
    </row>
    <row r="439">
      <c r="A439" s="11"/>
      <c r="B439" s="11"/>
      <c r="C439" s="11"/>
      <c r="D439" s="24"/>
      <c r="E439" s="25"/>
      <c r="F439" s="25"/>
      <c r="G439" s="26"/>
      <c r="H439" s="25"/>
      <c r="I439" s="15"/>
    </row>
    <row r="440">
      <c r="A440" s="6"/>
      <c r="B440" s="6"/>
      <c r="C440" s="6"/>
      <c r="D440" s="21"/>
      <c r="E440" s="22"/>
      <c r="F440" s="22"/>
      <c r="G440" s="23"/>
      <c r="H440" s="22"/>
      <c r="I440" s="10"/>
    </row>
    <row r="441">
      <c r="A441" s="11"/>
      <c r="B441" s="11"/>
      <c r="C441" s="11"/>
      <c r="D441" s="24"/>
      <c r="E441" s="25"/>
      <c r="F441" s="25"/>
      <c r="G441" s="26"/>
      <c r="H441" s="25"/>
      <c r="I441" s="15"/>
    </row>
    <row r="442">
      <c r="A442" s="6"/>
      <c r="B442" s="6"/>
      <c r="C442" s="6"/>
      <c r="D442" s="21"/>
      <c r="E442" s="22"/>
      <c r="F442" s="22"/>
      <c r="G442" s="23"/>
      <c r="H442" s="22"/>
      <c r="I442" s="10"/>
    </row>
    <row r="443">
      <c r="A443" s="11"/>
      <c r="B443" s="11"/>
      <c r="C443" s="11"/>
      <c r="D443" s="24"/>
      <c r="E443" s="25"/>
      <c r="F443" s="25"/>
      <c r="G443" s="26"/>
      <c r="H443" s="25"/>
      <c r="I443" s="15"/>
    </row>
    <row r="444">
      <c r="A444" s="6"/>
      <c r="B444" s="6"/>
      <c r="C444" s="6"/>
      <c r="D444" s="21"/>
      <c r="E444" s="22"/>
      <c r="F444" s="22"/>
      <c r="G444" s="23"/>
      <c r="H444" s="22"/>
      <c r="I444" s="10"/>
    </row>
    <row r="445">
      <c r="A445" s="11"/>
      <c r="B445" s="11"/>
      <c r="C445" s="11"/>
      <c r="D445" s="24"/>
      <c r="E445" s="25"/>
      <c r="F445" s="25"/>
      <c r="G445" s="26"/>
      <c r="H445" s="25"/>
      <c r="I445" s="15"/>
    </row>
    <row r="446">
      <c r="A446" s="6"/>
      <c r="B446" s="6"/>
      <c r="C446" s="6"/>
      <c r="D446" s="21"/>
      <c r="E446" s="22"/>
      <c r="F446" s="22"/>
      <c r="G446" s="23"/>
      <c r="H446" s="22"/>
      <c r="I446" s="10"/>
    </row>
    <row r="447">
      <c r="A447" s="11"/>
      <c r="B447" s="11"/>
      <c r="C447" s="11"/>
      <c r="D447" s="24"/>
      <c r="E447" s="25"/>
      <c r="F447" s="25"/>
      <c r="G447" s="26"/>
      <c r="H447" s="25"/>
      <c r="I447" s="15"/>
    </row>
    <row r="448">
      <c r="A448" s="6"/>
      <c r="B448" s="6"/>
      <c r="C448" s="6"/>
      <c r="D448" s="21"/>
      <c r="E448" s="22"/>
      <c r="F448" s="22"/>
      <c r="G448" s="23"/>
      <c r="H448" s="22"/>
      <c r="I448" s="10"/>
    </row>
    <row r="449">
      <c r="A449" s="11"/>
      <c r="B449" s="11"/>
      <c r="C449" s="11"/>
      <c r="D449" s="24"/>
      <c r="E449" s="25"/>
      <c r="F449" s="25"/>
      <c r="G449" s="26"/>
      <c r="H449" s="25"/>
      <c r="I449" s="15"/>
    </row>
    <row r="450">
      <c r="A450" s="6"/>
      <c r="B450" s="6"/>
      <c r="C450" s="6"/>
      <c r="D450" s="21"/>
      <c r="E450" s="22"/>
      <c r="F450" s="22"/>
      <c r="G450" s="23"/>
      <c r="H450" s="22"/>
      <c r="I450" s="10"/>
    </row>
    <row r="451">
      <c r="A451" s="11"/>
      <c r="B451" s="11"/>
      <c r="C451" s="11"/>
      <c r="D451" s="24"/>
      <c r="E451" s="25"/>
      <c r="F451" s="25"/>
      <c r="G451" s="26"/>
      <c r="H451" s="25"/>
      <c r="I451" s="15"/>
    </row>
    <row r="452">
      <c r="A452" s="6"/>
      <c r="B452" s="6"/>
      <c r="C452" s="6"/>
      <c r="D452" s="21"/>
      <c r="E452" s="22"/>
      <c r="F452" s="22"/>
      <c r="G452" s="23"/>
      <c r="H452" s="22"/>
      <c r="I452" s="10"/>
    </row>
    <row r="453">
      <c r="A453" s="11"/>
      <c r="B453" s="11"/>
      <c r="C453" s="11"/>
      <c r="D453" s="24"/>
      <c r="E453" s="25"/>
      <c r="F453" s="25"/>
      <c r="G453" s="26"/>
      <c r="H453" s="25"/>
      <c r="I453" s="15"/>
    </row>
    <row r="454">
      <c r="A454" s="6"/>
      <c r="B454" s="6"/>
      <c r="C454" s="6"/>
      <c r="D454" s="21"/>
      <c r="E454" s="22"/>
      <c r="F454" s="22"/>
      <c r="G454" s="23"/>
      <c r="H454" s="22"/>
      <c r="I454" s="10"/>
    </row>
    <row r="455">
      <c r="A455" s="11"/>
      <c r="B455" s="11"/>
      <c r="C455" s="11"/>
      <c r="D455" s="24"/>
      <c r="E455" s="25"/>
      <c r="F455" s="25"/>
      <c r="G455" s="26"/>
      <c r="H455" s="25"/>
      <c r="I455" s="15"/>
    </row>
    <row r="456">
      <c r="A456" s="6"/>
      <c r="B456" s="6"/>
      <c r="C456" s="6"/>
      <c r="D456" s="21"/>
      <c r="E456" s="22"/>
      <c r="F456" s="22"/>
      <c r="G456" s="23"/>
      <c r="H456" s="22"/>
      <c r="I456" s="10"/>
    </row>
    <row r="457">
      <c r="A457" s="11"/>
      <c r="B457" s="11"/>
      <c r="C457" s="11"/>
      <c r="D457" s="24"/>
      <c r="E457" s="25"/>
      <c r="F457" s="25"/>
      <c r="G457" s="26"/>
      <c r="H457" s="25"/>
      <c r="I457" s="15"/>
    </row>
    <row r="458">
      <c r="A458" s="6"/>
      <c r="B458" s="6"/>
      <c r="C458" s="6"/>
      <c r="D458" s="21"/>
      <c r="E458" s="22"/>
      <c r="F458" s="22"/>
      <c r="G458" s="23"/>
      <c r="H458" s="22"/>
      <c r="I458" s="10"/>
    </row>
    <row r="459">
      <c r="A459" s="11"/>
      <c r="B459" s="11"/>
      <c r="C459" s="11"/>
      <c r="D459" s="24"/>
      <c r="E459" s="25"/>
      <c r="F459" s="25"/>
      <c r="G459" s="26"/>
      <c r="H459" s="25"/>
      <c r="I459" s="15"/>
    </row>
    <row r="460">
      <c r="A460" s="6"/>
      <c r="B460" s="6"/>
      <c r="C460" s="6"/>
      <c r="D460" s="21"/>
      <c r="E460" s="22"/>
      <c r="F460" s="22"/>
      <c r="G460" s="23"/>
      <c r="H460" s="22"/>
      <c r="I460" s="10"/>
    </row>
    <row r="461">
      <c r="A461" s="11"/>
      <c r="B461" s="11"/>
      <c r="C461" s="11"/>
      <c r="D461" s="24"/>
      <c r="E461" s="25"/>
      <c r="F461" s="25"/>
      <c r="G461" s="26"/>
      <c r="H461" s="25"/>
      <c r="I461" s="15"/>
    </row>
    <row r="462">
      <c r="A462" s="6"/>
      <c r="B462" s="6"/>
      <c r="C462" s="6"/>
      <c r="D462" s="21"/>
      <c r="E462" s="22"/>
      <c r="F462" s="22"/>
      <c r="G462" s="23"/>
      <c r="H462" s="22"/>
      <c r="I462" s="10"/>
    </row>
    <row r="463">
      <c r="A463" s="11"/>
      <c r="B463" s="11"/>
      <c r="C463" s="11"/>
      <c r="D463" s="24"/>
      <c r="E463" s="25"/>
      <c r="F463" s="25"/>
      <c r="G463" s="26"/>
      <c r="H463" s="25"/>
      <c r="I463" s="15"/>
    </row>
    <row r="464">
      <c r="A464" s="6"/>
      <c r="B464" s="6"/>
      <c r="C464" s="6"/>
      <c r="D464" s="21"/>
      <c r="E464" s="22"/>
      <c r="F464" s="22"/>
      <c r="G464" s="23"/>
      <c r="H464" s="22"/>
      <c r="I464" s="10"/>
    </row>
    <row r="465">
      <c r="A465" s="11"/>
      <c r="B465" s="11"/>
      <c r="C465" s="11"/>
      <c r="D465" s="24"/>
      <c r="E465" s="25"/>
      <c r="F465" s="25"/>
      <c r="G465" s="26"/>
      <c r="H465" s="25"/>
      <c r="I465" s="15"/>
    </row>
    <row r="466">
      <c r="A466" s="6"/>
      <c r="B466" s="6"/>
      <c r="C466" s="6"/>
      <c r="D466" s="21"/>
      <c r="E466" s="22"/>
      <c r="F466" s="22"/>
      <c r="G466" s="23"/>
      <c r="H466" s="22"/>
      <c r="I466" s="10"/>
    </row>
    <row r="467">
      <c r="A467" s="11"/>
      <c r="B467" s="11"/>
      <c r="C467" s="11"/>
      <c r="D467" s="24"/>
      <c r="E467" s="25"/>
      <c r="F467" s="25"/>
      <c r="G467" s="26"/>
      <c r="H467" s="25"/>
      <c r="I467" s="15"/>
    </row>
    <row r="468">
      <c r="A468" s="6"/>
      <c r="B468" s="6"/>
      <c r="C468" s="6"/>
      <c r="D468" s="21"/>
      <c r="E468" s="22"/>
      <c r="F468" s="22"/>
      <c r="G468" s="23"/>
      <c r="H468" s="22"/>
      <c r="I468" s="10"/>
    </row>
    <row r="469">
      <c r="A469" s="11"/>
      <c r="B469" s="11"/>
      <c r="C469" s="11"/>
      <c r="D469" s="24"/>
      <c r="E469" s="25"/>
      <c r="F469" s="25"/>
      <c r="G469" s="26"/>
      <c r="H469" s="25"/>
      <c r="I469" s="15"/>
    </row>
    <row r="470">
      <c r="A470" s="6"/>
      <c r="B470" s="6"/>
      <c r="C470" s="6"/>
      <c r="D470" s="21"/>
      <c r="E470" s="22"/>
      <c r="F470" s="22"/>
      <c r="G470" s="23"/>
      <c r="H470" s="22"/>
      <c r="I470" s="10"/>
    </row>
    <row r="471">
      <c r="A471" s="11"/>
      <c r="B471" s="11"/>
      <c r="C471" s="11"/>
      <c r="D471" s="24"/>
      <c r="E471" s="25"/>
      <c r="F471" s="25"/>
      <c r="G471" s="26"/>
      <c r="H471" s="25"/>
      <c r="I471" s="15"/>
    </row>
    <row r="472">
      <c r="A472" s="6"/>
      <c r="B472" s="6"/>
      <c r="C472" s="6"/>
      <c r="D472" s="21"/>
      <c r="E472" s="22"/>
      <c r="F472" s="22"/>
      <c r="G472" s="23"/>
      <c r="H472" s="22"/>
      <c r="I472" s="10"/>
    </row>
    <row r="473">
      <c r="A473" s="11"/>
      <c r="B473" s="11"/>
      <c r="C473" s="11"/>
      <c r="D473" s="24"/>
      <c r="E473" s="25"/>
      <c r="F473" s="25"/>
      <c r="G473" s="26"/>
      <c r="H473" s="25"/>
      <c r="I473" s="15"/>
    </row>
    <row r="474">
      <c r="A474" s="6"/>
      <c r="B474" s="6"/>
      <c r="C474" s="6"/>
      <c r="D474" s="21"/>
      <c r="E474" s="22"/>
      <c r="F474" s="22"/>
      <c r="G474" s="23"/>
      <c r="H474" s="22"/>
      <c r="I474" s="10"/>
    </row>
    <row r="475">
      <c r="A475" s="11"/>
      <c r="B475" s="11"/>
      <c r="C475" s="11"/>
      <c r="D475" s="24"/>
      <c r="E475" s="25"/>
      <c r="F475" s="25"/>
      <c r="G475" s="26"/>
      <c r="H475" s="25"/>
      <c r="I475" s="15"/>
    </row>
    <row r="476">
      <c r="A476" s="6"/>
      <c r="B476" s="6"/>
      <c r="C476" s="6"/>
      <c r="D476" s="21"/>
      <c r="E476" s="22"/>
      <c r="F476" s="22"/>
      <c r="G476" s="23"/>
      <c r="H476" s="22"/>
      <c r="I476" s="10"/>
    </row>
    <row r="477">
      <c r="A477" s="11"/>
      <c r="B477" s="11"/>
      <c r="C477" s="11"/>
      <c r="D477" s="24"/>
      <c r="E477" s="25"/>
      <c r="F477" s="25"/>
      <c r="G477" s="26"/>
      <c r="H477" s="25"/>
      <c r="I477" s="15"/>
    </row>
    <row r="478">
      <c r="A478" s="6"/>
      <c r="B478" s="6"/>
      <c r="C478" s="6"/>
      <c r="D478" s="21"/>
      <c r="E478" s="22"/>
      <c r="F478" s="22"/>
      <c r="G478" s="23"/>
      <c r="H478" s="22"/>
      <c r="I478" s="10"/>
    </row>
    <row r="479">
      <c r="A479" s="11"/>
      <c r="B479" s="11"/>
      <c r="C479" s="11"/>
      <c r="D479" s="24"/>
      <c r="E479" s="25"/>
      <c r="F479" s="25"/>
      <c r="G479" s="26"/>
      <c r="H479" s="25"/>
      <c r="I479" s="15"/>
    </row>
    <row r="480">
      <c r="A480" s="6"/>
      <c r="B480" s="6"/>
      <c r="C480" s="6"/>
      <c r="D480" s="21"/>
      <c r="E480" s="22"/>
      <c r="F480" s="22"/>
      <c r="G480" s="23"/>
      <c r="H480" s="22"/>
      <c r="I480" s="10"/>
    </row>
    <row r="481">
      <c r="A481" s="11"/>
      <c r="B481" s="11"/>
      <c r="C481" s="11"/>
      <c r="D481" s="24"/>
      <c r="E481" s="25"/>
      <c r="F481" s="25"/>
      <c r="G481" s="26"/>
      <c r="H481" s="25"/>
      <c r="I481" s="15"/>
    </row>
    <row r="482">
      <c r="A482" s="6"/>
      <c r="B482" s="6"/>
      <c r="C482" s="6"/>
      <c r="D482" s="21"/>
      <c r="E482" s="22"/>
      <c r="F482" s="22"/>
      <c r="G482" s="23"/>
      <c r="H482" s="22"/>
      <c r="I482" s="10"/>
    </row>
    <row r="483">
      <c r="A483" s="11"/>
      <c r="B483" s="11"/>
      <c r="C483" s="11"/>
      <c r="D483" s="24"/>
      <c r="E483" s="25"/>
      <c r="F483" s="25"/>
      <c r="G483" s="26"/>
      <c r="H483" s="25"/>
      <c r="I483" s="15"/>
    </row>
    <row r="484">
      <c r="A484" s="6"/>
      <c r="B484" s="6"/>
      <c r="C484" s="6"/>
      <c r="D484" s="21"/>
      <c r="E484" s="22"/>
      <c r="F484" s="22"/>
      <c r="G484" s="23"/>
      <c r="H484" s="22"/>
      <c r="I484" s="10"/>
    </row>
    <row r="485">
      <c r="A485" s="11"/>
      <c r="B485" s="11"/>
      <c r="C485" s="11"/>
      <c r="D485" s="24"/>
      <c r="E485" s="25"/>
      <c r="F485" s="25"/>
      <c r="G485" s="26"/>
      <c r="H485" s="25"/>
      <c r="I485" s="15"/>
    </row>
    <row r="486">
      <c r="A486" s="6"/>
      <c r="B486" s="6"/>
      <c r="C486" s="6"/>
      <c r="D486" s="21"/>
      <c r="E486" s="22"/>
      <c r="F486" s="22"/>
      <c r="G486" s="23"/>
      <c r="H486" s="22"/>
      <c r="I486" s="10"/>
    </row>
    <row r="487">
      <c r="A487" s="11"/>
      <c r="B487" s="11"/>
      <c r="C487" s="11"/>
      <c r="D487" s="24"/>
      <c r="E487" s="25"/>
      <c r="F487" s="25"/>
      <c r="G487" s="26"/>
      <c r="H487" s="25"/>
      <c r="I487" s="15"/>
    </row>
    <row r="488">
      <c r="A488" s="6"/>
      <c r="B488" s="6"/>
      <c r="C488" s="6"/>
      <c r="D488" s="21"/>
      <c r="E488" s="22"/>
      <c r="F488" s="22"/>
      <c r="G488" s="23"/>
      <c r="H488" s="22"/>
      <c r="I488" s="10"/>
    </row>
    <row r="489">
      <c r="A489" s="11"/>
      <c r="B489" s="11"/>
      <c r="C489" s="11"/>
      <c r="D489" s="24"/>
      <c r="E489" s="25"/>
      <c r="F489" s="25"/>
      <c r="G489" s="26"/>
      <c r="H489" s="25"/>
      <c r="I489" s="15"/>
    </row>
    <row r="490">
      <c r="A490" s="6"/>
      <c r="B490" s="6"/>
      <c r="C490" s="6"/>
      <c r="D490" s="21"/>
      <c r="E490" s="22"/>
      <c r="F490" s="22"/>
      <c r="G490" s="23"/>
      <c r="H490" s="22"/>
      <c r="I490" s="10"/>
    </row>
    <row r="491">
      <c r="A491" s="11"/>
      <c r="B491" s="11"/>
      <c r="C491" s="11"/>
      <c r="D491" s="24"/>
      <c r="E491" s="25"/>
      <c r="F491" s="25"/>
      <c r="G491" s="26"/>
      <c r="H491" s="25"/>
      <c r="I491" s="15"/>
    </row>
    <row r="492">
      <c r="A492" s="6"/>
      <c r="B492" s="6"/>
      <c r="C492" s="6"/>
      <c r="D492" s="21"/>
      <c r="E492" s="22"/>
      <c r="F492" s="22"/>
      <c r="G492" s="23"/>
      <c r="H492" s="22"/>
      <c r="I492" s="10"/>
    </row>
    <row r="493">
      <c r="A493" s="11"/>
      <c r="B493" s="11"/>
      <c r="C493" s="11"/>
      <c r="D493" s="24"/>
      <c r="E493" s="25"/>
      <c r="F493" s="25"/>
      <c r="G493" s="26"/>
      <c r="H493" s="25"/>
      <c r="I493" s="15"/>
    </row>
    <row r="494">
      <c r="A494" s="6"/>
      <c r="B494" s="6"/>
      <c r="C494" s="6"/>
      <c r="D494" s="21"/>
      <c r="E494" s="22"/>
      <c r="F494" s="22"/>
      <c r="G494" s="23"/>
      <c r="H494" s="22"/>
      <c r="I494" s="10"/>
    </row>
    <row r="495">
      <c r="A495" s="11"/>
      <c r="B495" s="11"/>
      <c r="C495" s="11"/>
      <c r="D495" s="24"/>
      <c r="E495" s="25"/>
      <c r="F495" s="25"/>
      <c r="G495" s="26"/>
      <c r="H495" s="25"/>
      <c r="I495" s="15"/>
    </row>
    <row r="496">
      <c r="A496" s="6"/>
      <c r="B496" s="6"/>
      <c r="C496" s="6"/>
      <c r="D496" s="21"/>
      <c r="E496" s="22"/>
      <c r="F496" s="22"/>
      <c r="G496" s="23"/>
      <c r="H496" s="22"/>
      <c r="I496" s="10"/>
    </row>
    <row r="497">
      <c r="A497" s="11"/>
      <c r="B497" s="11"/>
      <c r="C497" s="11"/>
      <c r="D497" s="24"/>
      <c r="E497" s="25"/>
      <c r="F497" s="25"/>
      <c r="G497" s="26"/>
      <c r="H497" s="25"/>
      <c r="I497" s="15"/>
    </row>
    <row r="498">
      <c r="A498" s="6"/>
      <c r="B498" s="6"/>
      <c r="C498" s="6"/>
      <c r="D498" s="21"/>
      <c r="E498" s="22"/>
      <c r="F498" s="22"/>
      <c r="G498" s="23"/>
      <c r="H498" s="22"/>
      <c r="I498" s="10"/>
    </row>
    <row r="499">
      <c r="A499" s="11"/>
      <c r="B499" s="11"/>
      <c r="C499" s="11"/>
      <c r="D499" s="24"/>
      <c r="E499" s="25"/>
      <c r="F499" s="25"/>
      <c r="G499" s="26"/>
      <c r="H499" s="25"/>
      <c r="I499" s="15"/>
    </row>
    <row r="500">
      <c r="A500" s="6"/>
      <c r="B500" s="6"/>
      <c r="C500" s="6"/>
      <c r="D500" s="21"/>
      <c r="E500" s="22"/>
      <c r="F500" s="22"/>
      <c r="G500" s="23"/>
      <c r="H500" s="22"/>
      <c r="I500" s="10"/>
    </row>
    <row r="501">
      <c r="A501" s="11"/>
      <c r="B501" s="11"/>
      <c r="C501" s="11"/>
      <c r="D501" s="24"/>
      <c r="E501" s="25"/>
      <c r="F501" s="25"/>
      <c r="G501" s="26"/>
      <c r="H501" s="25"/>
      <c r="I501" s="15"/>
    </row>
    <row r="502">
      <c r="A502" s="6"/>
      <c r="B502" s="6"/>
      <c r="C502" s="6"/>
      <c r="D502" s="21"/>
      <c r="E502" s="22"/>
      <c r="F502" s="22"/>
      <c r="G502" s="23"/>
      <c r="H502" s="22"/>
      <c r="I502" s="10"/>
    </row>
    <row r="503">
      <c r="A503" s="11"/>
      <c r="B503" s="11"/>
      <c r="C503" s="11"/>
      <c r="D503" s="24"/>
      <c r="E503" s="25"/>
      <c r="F503" s="25"/>
      <c r="G503" s="26"/>
      <c r="H503" s="25"/>
      <c r="I503" s="15"/>
    </row>
    <row r="504">
      <c r="A504" s="6"/>
      <c r="B504" s="6"/>
      <c r="C504" s="6"/>
      <c r="D504" s="21"/>
      <c r="E504" s="22"/>
      <c r="F504" s="22"/>
      <c r="G504" s="23"/>
      <c r="H504" s="22"/>
      <c r="I504" s="10"/>
    </row>
    <row r="505">
      <c r="A505" s="11"/>
      <c r="B505" s="11"/>
      <c r="C505" s="11"/>
      <c r="D505" s="24"/>
      <c r="E505" s="25"/>
      <c r="F505" s="25"/>
      <c r="G505" s="26"/>
      <c r="H505" s="25"/>
      <c r="I505" s="15"/>
    </row>
    <row r="506">
      <c r="A506" s="6"/>
      <c r="B506" s="6"/>
      <c r="C506" s="6"/>
      <c r="D506" s="21"/>
      <c r="E506" s="22"/>
      <c r="F506" s="22"/>
      <c r="G506" s="23"/>
      <c r="H506" s="22"/>
      <c r="I506" s="10"/>
    </row>
    <row r="507">
      <c r="A507" s="11"/>
      <c r="B507" s="11"/>
      <c r="C507" s="11"/>
      <c r="D507" s="24"/>
      <c r="E507" s="25"/>
      <c r="F507" s="25"/>
      <c r="G507" s="26"/>
      <c r="H507" s="25"/>
      <c r="I507" s="15"/>
    </row>
    <row r="508">
      <c r="A508" s="6"/>
      <c r="B508" s="6"/>
      <c r="C508" s="6"/>
      <c r="D508" s="21"/>
      <c r="E508" s="22"/>
      <c r="F508" s="22"/>
      <c r="G508" s="23"/>
      <c r="H508" s="22"/>
      <c r="I508" s="10"/>
    </row>
    <row r="509">
      <c r="A509" s="11"/>
      <c r="B509" s="11"/>
      <c r="C509" s="11"/>
      <c r="D509" s="24"/>
      <c r="E509" s="25"/>
      <c r="F509" s="25"/>
      <c r="G509" s="26"/>
      <c r="H509" s="25"/>
      <c r="I509" s="15"/>
    </row>
    <row r="510">
      <c r="A510" s="6"/>
      <c r="B510" s="6"/>
      <c r="C510" s="6"/>
      <c r="D510" s="21"/>
      <c r="E510" s="22"/>
      <c r="F510" s="22"/>
      <c r="G510" s="23"/>
      <c r="H510" s="22"/>
      <c r="I510" s="10"/>
    </row>
    <row r="511">
      <c r="A511" s="11"/>
      <c r="B511" s="11"/>
      <c r="C511" s="11"/>
      <c r="D511" s="24"/>
      <c r="E511" s="25"/>
      <c r="F511" s="25"/>
      <c r="G511" s="26"/>
      <c r="H511" s="25"/>
      <c r="I511" s="15"/>
    </row>
    <row r="512">
      <c r="A512" s="6"/>
      <c r="B512" s="6"/>
      <c r="C512" s="6"/>
      <c r="D512" s="21"/>
      <c r="E512" s="22"/>
      <c r="F512" s="22"/>
      <c r="G512" s="23"/>
      <c r="H512" s="22"/>
      <c r="I512" s="10"/>
    </row>
    <row r="513">
      <c r="A513" s="11"/>
      <c r="B513" s="11"/>
      <c r="C513" s="11"/>
      <c r="D513" s="24"/>
      <c r="E513" s="25"/>
      <c r="F513" s="25"/>
      <c r="G513" s="26"/>
      <c r="H513" s="25"/>
      <c r="I513" s="15"/>
    </row>
    <row r="514">
      <c r="A514" s="6"/>
      <c r="B514" s="6"/>
      <c r="C514" s="6"/>
      <c r="D514" s="21"/>
      <c r="E514" s="22"/>
      <c r="F514" s="22"/>
      <c r="G514" s="23"/>
      <c r="H514" s="22"/>
      <c r="I514" s="10"/>
    </row>
    <row r="515">
      <c r="A515" s="11"/>
      <c r="B515" s="11"/>
      <c r="C515" s="11"/>
      <c r="D515" s="24"/>
      <c r="E515" s="25"/>
      <c r="F515" s="25"/>
      <c r="G515" s="26"/>
      <c r="H515" s="25"/>
      <c r="I515" s="15"/>
    </row>
    <row r="516">
      <c r="A516" s="6"/>
      <c r="B516" s="6"/>
      <c r="C516" s="6"/>
      <c r="D516" s="21"/>
      <c r="E516" s="22"/>
      <c r="F516" s="22"/>
      <c r="G516" s="23"/>
      <c r="H516" s="22"/>
      <c r="I516" s="10"/>
    </row>
    <row r="517">
      <c r="A517" s="11"/>
      <c r="B517" s="11"/>
      <c r="C517" s="11"/>
      <c r="D517" s="24"/>
      <c r="E517" s="25"/>
      <c r="F517" s="25"/>
      <c r="G517" s="26"/>
      <c r="H517" s="25"/>
      <c r="I517" s="15"/>
    </row>
    <row r="518">
      <c r="A518" s="6"/>
      <c r="B518" s="6"/>
      <c r="C518" s="6"/>
      <c r="D518" s="21"/>
      <c r="E518" s="22"/>
      <c r="F518" s="22"/>
      <c r="G518" s="23"/>
      <c r="H518" s="22"/>
      <c r="I518" s="10"/>
    </row>
    <row r="519">
      <c r="A519" s="11"/>
      <c r="B519" s="11"/>
      <c r="C519" s="11"/>
      <c r="D519" s="24"/>
      <c r="E519" s="25"/>
      <c r="F519" s="25"/>
      <c r="G519" s="26"/>
      <c r="H519" s="25"/>
      <c r="I519" s="15"/>
    </row>
    <row r="520">
      <c r="A520" s="6"/>
      <c r="B520" s="6"/>
      <c r="C520" s="6"/>
      <c r="D520" s="21"/>
      <c r="E520" s="22"/>
      <c r="F520" s="22"/>
      <c r="G520" s="23"/>
      <c r="H520" s="22"/>
      <c r="I520" s="10"/>
    </row>
    <row r="521">
      <c r="A521" s="11"/>
      <c r="B521" s="11"/>
      <c r="C521" s="11"/>
      <c r="D521" s="24"/>
      <c r="E521" s="25"/>
      <c r="F521" s="25"/>
      <c r="G521" s="26"/>
      <c r="H521" s="25"/>
      <c r="I521" s="15"/>
    </row>
    <row r="522">
      <c r="A522" s="6"/>
      <c r="B522" s="6"/>
      <c r="C522" s="6"/>
      <c r="D522" s="21"/>
      <c r="E522" s="22"/>
      <c r="F522" s="22"/>
      <c r="G522" s="23"/>
      <c r="H522" s="22"/>
      <c r="I522" s="10"/>
    </row>
    <row r="523">
      <c r="A523" s="11"/>
      <c r="B523" s="11"/>
      <c r="C523" s="11"/>
      <c r="D523" s="24"/>
      <c r="E523" s="25"/>
      <c r="F523" s="25"/>
      <c r="G523" s="26"/>
      <c r="H523" s="25"/>
      <c r="I523" s="15"/>
    </row>
    <row r="524">
      <c r="A524" s="6"/>
      <c r="B524" s="6"/>
      <c r="C524" s="6"/>
      <c r="D524" s="21"/>
      <c r="E524" s="22"/>
      <c r="F524" s="22"/>
      <c r="G524" s="23"/>
      <c r="H524" s="22"/>
      <c r="I524" s="10"/>
    </row>
    <row r="525">
      <c r="A525" s="11"/>
      <c r="B525" s="11"/>
      <c r="C525" s="11"/>
      <c r="D525" s="24"/>
      <c r="E525" s="25"/>
      <c r="F525" s="25"/>
      <c r="G525" s="26"/>
      <c r="H525" s="25"/>
      <c r="I525" s="15"/>
    </row>
    <row r="526">
      <c r="A526" s="6"/>
      <c r="B526" s="6"/>
      <c r="C526" s="6"/>
      <c r="D526" s="21"/>
      <c r="E526" s="22"/>
      <c r="F526" s="22"/>
      <c r="G526" s="23"/>
      <c r="H526" s="22"/>
      <c r="I526" s="10"/>
    </row>
    <row r="527">
      <c r="A527" s="11"/>
      <c r="B527" s="11"/>
      <c r="C527" s="11"/>
      <c r="D527" s="24"/>
      <c r="E527" s="25"/>
      <c r="F527" s="25"/>
      <c r="G527" s="26"/>
      <c r="H527" s="25"/>
      <c r="I527" s="15"/>
    </row>
    <row r="528">
      <c r="A528" s="6"/>
      <c r="B528" s="6"/>
      <c r="C528" s="6"/>
      <c r="D528" s="21"/>
      <c r="E528" s="22"/>
      <c r="F528" s="22"/>
      <c r="G528" s="23"/>
      <c r="H528" s="22"/>
      <c r="I528" s="10"/>
    </row>
    <row r="529">
      <c r="A529" s="11"/>
      <c r="B529" s="11"/>
      <c r="C529" s="11"/>
      <c r="D529" s="24"/>
      <c r="E529" s="25"/>
      <c r="F529" s="25"/>
      <c r="G529" s="26"/>
      <c r="H529" s="25"/>
      <c r="I529" s="15"/>
    </row>
    <row r="530">
      <c r="A530" s="6"/>
      <c r="B530" s="6"/>
      <c r="C530" s="6"/>
      <c r="D530" s="21"/>
      <c r="E530" s="22"/>
      <c r="F530" s="22"/>
      <c r="G530" s="23"/>
      <c r="H530" s="22"/>
      <c r="I530" s="10"/>
    </row>
    <row r="531">
      <c r="A531" s="11"/>
      <c r="B531" s="11"/>
      <c r="C531" s="11"/>
      <c r="D531" s="24"/>
      <c r="E531" s="25"/>
      <c r="F531" s="25"/>
      <c r="G531" s="26"/>
      <c r="H531" s="25"/>
      <c r="I531" s="15"/>
    </row>
    <row r="532">
      <c r="A532" s="6"/>
      <c r="B532" s="6"/>
      <c r="C532" s="6"/>
      <c r="D532" s="21"/>
      <c r="E532" s="22"/>
      <c r="F532" s="22"/>
      <c r="G532" s="23"/>
      <c r="H532" s="22"/>
      <c r="I532" s="10"/>
    </row>
    <row r="533">
      <c r="A533" s="11"/>
      <c r="B533" s="11"/>
      <c r="C533" s="11"/>
      <c r="D533" s="24"/>
      <c r="E533" s="25"/>
      <c r="F533" s="25"/>
      <c r="G533" s="26"/>
      <c r="H533" s="25"/>
      <c r="I533" s="15"/>
    </row>
    <row r="534">
      <c r="A534" s="6"/>
      <c r="B534" s="6"/>
      <c r="C534" s="6"/>
      <c r="D534" s="21"/>
      <c r="E534" s="22"/>
      <c r="F534" s="22"/>
      <c r="G534" s="23"/>
      <c r="H534" s="22"/>
      <c r="I534" s="10"/>
    </row>
    <row r="535">
      <c r="A535" s="11"/>
      <c r="B535" s="11"/>
      <c r="C535" s="11"/>
      <c r="D535" s="24"/>
      <c r="E535" s="25"/>
      <c r="F535" s="25"/>
      <c r="G535" s="26"/>
      <c r="H535" s="25"/>
      <c r="I535" s="15"/>
    </row>
    <row r="536">
      <c r="A536" s="6"/>
      <c r="B536" s="6"/>
      <c r="C536" s="6"/>
      <c r="D536" s="21"/>
      <c r="E536" s="22"/>
      <c r="F536" s="22"/>
      <c r="G536" s="23"/>
      <c r="H536" s="22"/>
      <c r="I536" s="10"/>
    </row>
    <row r="537">
      <c r="A537" s="11"/>
      <c r="B537" s="11"/>
      <c r="C537" s="11"/>
      <c r="D537" s="24"/>
      <c r="E537" s="25"/>
      <c r="F537" s="25"/>
      <c r="G537" s="26"/>
      <c r="H537" s="25"/>
      <c r="I537" s="15"/>
    </row>
    <row r="538">
      <c r="A538" s="6"/>
      <c r="B538" s="6"/>
      <c r="C538" s="6"/>
      <c r="D538" s="21"/>
      <c r="E538" s="22"/>
      <c r="F538" s="22"/>
      <c r="G538" s="23"/>
      <c r="H538" s="22"/>
      <c r="I538" s="10"/>
    </row>
    <row r="539">
      <c r="A539" s="11"/>
      <c r="B539" s="11"/>
      <c r="C539" s="11"/>
      <c r="D539" s="24"/>
      <c r="E539" s="25"/>
      <c r="F539" s="25"/>
      <c r="G539" s="26"/>
      <c r="H539" s="25"/>
      <c r="I539" s="15"/>
    </row>
    <row r="540">
      <c r="A540" s="6"/>
      <c r="B540" s="6"/>
      <c r="C540" s="6"/>
      <c r="D540" s="21"/>
      <c r="E540" s="22"/>
      <c r="F540" s="22"/>
      <c r="G540" s="23"/>
      <c r="H540" s="22"/>
      <c r="I540" s="10"/>
    </row>
    <row r="541">
      <c r="A541" s="11"/>
      <c r="B541" s="11"/>
      <c r="C541" s="11"/>
      <c r="D541" s="24"/>
      <c r="E541" s="25"/>
      <c r="F541" s="25"/>
      <c r="G541" s="26"/>
      <c r="H541" s="25"/>
      <c r="I541" s="15"/>
    </row>
    <row r="542">
      <c r="A542" s="6"/>
      <c r="B542" s="6"/>
      <c r="C542" s="6"/>
      <c r="D542" s="21"/>
      <c r="E542" s="22"/>
      <c r="F542" s="22"/>
      <c r="G542" s="23"/>
      <c r="H542" s="22"/>
      <c r="I542" s="10"/>
    </row>
    <row r="543">
      <c r="A543" s="11"/>
      <c r="B543" s="11"/>
      <c r="C543" s="11"/>
      <c r="D543" s="24"/>
      <c r="E543" s="25"/>
      <c r="F543" s="25"/>
      <c r="G543" s="26"/>
      <c r="H543" s="25"/>
      <c r="I543" s="15"/>
    </row>
    <row r="544">
      <c r="A544" s="6"/>
      <c r="B544" s="6"/>
      <c r="C544" s="6"/>
      <c r="D544" s="21"/>
      <c r="E544" s="22"/>
      <c r="F544" s="22"/>
      <c r="G544" s="23"/>
      <c r="H544" s="22"/>
      <c r="I544" s="10"/>
    </row>
    <row r="545">
      <c r="A545" s="11"/>
      <c r="B545" s="11"/>
      <c r="C545" s="11"/>
      <c r="D545" s="24"/>
      <c r="E545" s="25"/>
      <c r="F545" s="25"/>
      <c r="G545" s="26"/>
      <c r="H545" s="25"/>
      <c r="I545" s="15"/>
    </row>
    <row r="546">
      <c r="A546" s="6"/>
      <c r="B546" s="6"/>
      <c r="C546" s="6"/>
      <c r="D546" s="21"/>
      <c r="E546" s="22"/>
      <c r="F546" s="22"/>
      <c r="G546" s="23"/>
      <c r="H546" s="22"/>
      <c r="I546" s="10"/>
    </row>
    <row r="547">
      <c r="A547" s="11"/>
      <c r="B547" s="11"/>
      <c r="C547" s="11"/>
      <c r="D547" s="24"/>
      <c r="E547" s="25"/>
      <c r="F547" s="25"/>
      <c r="G547" s="26"/>
      <c r="H547" s="25"/>
      <c r="I547" s="15"/>
    </row>
    <row r="548">
      <c r="A548" s="6"/>
      <c r="B548" s="6"/>
      <c r="C548" s="6"/>
      <c r="D548" s="21"/>
      <c r="E548" s="22"/>
      <c r="F548" s="22"/>
      <c r="G548" s="23"/>
      <c r="H548" s="22"/>
      <c r="I548" s="10"/>
    </row>
    <row r="549">
      <c r="A549" s="11"/>
      <c r="B549" s="11"/>
      <c r="C549" s="11"/>
      <c r="D549" s="24"/>
      <c r="E549" s="25"/>
      <c r="F549" s="25"/>
      <c r="G549" s="26"/>
      <c r="H549" s="25"/>
      <c r="I549" s="15"/>
    </row>
    <row r="550">
      <c r="A550" s="6"/>
      <c r="B550" s="6"/>
      <c r="C550" s="6"/>
      <c r="D550" s="21"/>
      <c r="E550" s="22"/>
      <c r="F550" s="22"/>
      <c r="G550" s="23"/>
      <c r="H550" s="22"/>
      <c r="I550" s="10"/>
    </row>
    <row r="551">
      <c r="A551" s="11"/>
      <c r="B551" s="11"/>
      <c r="C551" s="11"/>
      <c r="D551" s="24"/>
      <c r="E551" s="25"/>
      <c r="F551" s="25"/>
      <c r="G551" s="26"/>
      <c r="H551" s="25"/>
      <c r="I551" s="15"/>
    </row>
    <row r="552">
      <c r="A552" s="6"/>
      <c r="B552" s="6"/>
      <c r="C552" s="6"/>
      <c r="D552" s="21"/>
      <c r="E552" s="22"/>
      <c r="F552" s="22"/>
      <c r="G552" s="23"/>
      <c r="H552" s="22"/>
      <c r="I552" s="10"/>
    </row>
    <row r="553">
      <c r="A553" s="11"/>
      <c r="B553" s="11"/>
      <c r="C553" s="11"/>
      <c r="D553" s="24"/>
      <c r="E553" s="25"/>
      <c r="F553" s="25"/>
      <c r="G553" s="26"/>
      <c r="H553" s="25"/>
      <c r="I553" s="15"/>
    </row>
    <row r="554">
      <c r="A554" s="6"/>
      <c r="B554" s="6"/>
      <c r="C554" s="6"/>
      <c r="D554" s="21"/>
      <c r="E554" s="22"/>
      <c r="F554" s="22"/>
      <c r="G554" s="23"/>
      <c r="H554" s="22"/>
      <c r="I554" s="10"/>
    </row>
    <row r="555">
      <c r="A555" s="11"/>
      <c r="B555" s="11"/>
      <c r="C555" s="11"/>
      <c r="D555" s="24"/>
      <c r="E555" s="25"/>
      <c r="F555" s="25"/>
      <c r="G555" s="26"/>
      <c r="H555" s="25"/>
      <c r="I555" s="15"/>
    </row>
    <row r="556">
      <c r="A556" s="6"/>
      <c r="B556" s="6"/>
      <c r="C556" s="6"/>
      <c r="D556" s="21"/>
      <c r="E556" s="22"/>
      <c r="F556" s="22"/>
      <c r="G556" s="23"/>
      <c r="H556" s="22"/>
      <c r="I556" s="10"/>
    </row>
    <row r="557">
      <c r="A557" s="11"/>
      <c r="B557" s="11"/>
      <c r="C557" s="11"/>
      <c r="D557" s="24"/>
      <c r="E557" s="25"/>
      <c r="F557" s="25"/>
      <c r="G557" s="26"/>
      <c r="H557" s="25"/>
      <c r="I557" s="15"/>
    </row>
    <row r="558">
      <c r="A558" s="6"/>
      <c r="B558" s="6"/>
      <c r="C558" s="6"/>
      <c r="D558" s="21"/>
      <c r="E558" s="22"/>
      <c r="F558" s="22"/>
      <c r="G558" s="23"/>
      <c r="H558" s="22"/>
      <c r="I558" s="10"/>
    </row>
    <row r="559">
      <c r="A559" s="11"/>
      <c r="B559" s="11"/>
      <c r="C559" s="11"/>
      <c r="D559" s="24"/>
      <c r="E559" s="25"/>
      <c r="F559" s="25"/>
      <c r="G559" s="26"/>
      <c r="H559" s="25"/>
      <c r="I559" s="15"/>
    </row>
    <row r="560">
      <c r="A560" s="6"/>
      <c r="B560" s="6"/>
      <c r="C560" s="6"/>
      <c r="D560" s="21"/>
      <c r="E560" s="22"/>
      <c r="F560" s="22"/>
      <c r="G560" s="23"/>
      <c r="H560" s="22"/>
      <c r="I560" s="10"/>
    </row>
    <row r="561">
      <c r="A561" s="11"/>
      <c r="B561" s="11"/>
      <c r="C561" s="11"/>
      <c r="D561" s="24"/>
      <c r="E561" s="25"/>
      <c r="F561" s="25"/>
      <c r="G561" s="26"/>
      <c r="H561" s="25"/>
      <c r="I561" s="15"/>
    </row>
    <row r="562">
      <c r="A562" s="6"/>
      <c r="B562" s="6"/>
      <c r="C562" s="6"/>
      <c r="D562" s="21"/>
      <c r="E562" s="22"/>
      <c r="F562" s="22"/>
      <c r="G562" s="23"/>
      <c r="H562" s="22"/>
      <c r="I562" s="10"/>
    </row>
    <row r="563">
      <c r="A563" s="11"/>
      <c r="B563" s="11"/>
      <c r="C563" s="11"/>
      <c r="D563" s="24"/>
      <c r="E563" s="25"/>
      <c r="F563" s="25"/>
      <c r="G563" s="26"/>
      <c r="H563" s="25"/>
      <c r="I563" s="15"/>
    </row>
    <row r="564">
      <c r="A564" s="6"/>
      <c r="B564" s="6"/>
      <c r="C564" s="6"/>
      <c r="D564" s="21"/>
      <c r="E564" s="22"/>
      <c r="F564" s="22"/>
      <c r="G564" s="23"/>
      <c r="H564" s="22"/>
      <c r="I564" s="10"/>
    </row>
    <row r="565">
      <c r="A565" s="11"/>
      <c r="B565" s="11"/>
      <c r="C565" s="11"/>
      <c r="D565" s="24"/>
      <c r="E565" s="25"/>
      <c r="F565" s="25"/>
      <c r="G565" s="26"/>
      <c r="H565" s="25"/>
      <c r="I565" s="15"/>
    </row>
    <row r="566">
      <c r="A566" s="6"/>
      <c r="B566" s="6"/>
      <c r="C566" s="6"/>
      <c r="D566" s="21"/>
      <c r="E566" s="22"/>
      <c r="F566" s="22"/>
      <c r="G566" s="23"/>
      <c r="H566" s="22"/>
      <c r="I566" s="10"/>
    </row>
    <row r="567">
      <c r="A567" s="11"/>
      <c r="B567" s="11"/>
      <c r="C567" s="11"/>
      <c r="D567" s="24"/>
      <c r="E567" s="25"/>
      <c r="F567" s="25"/>
      <c r="G567" s="26"/>
      <c r="H567" s="25"/>
      <c r="I567" s="15"/>
    </row>
    <row r="568">
      <c r="A568" s="6"/>
      <c r="B568" s="6"/>
      <c r="C568" s="6"/>
      <c r="D568" s="21"/>
      <c r="E568" s="22"/>
      <c r="F568" s="22"/>
      <c r="G568" s="23"/>
      <c r="H568" s="22"/>
      <c r="I568" s="10"/>
    </row>
    <row r="569">
      <c r="A569" s="11"/>
      <c r="B569" s="11"/>
      <c r="C569" s="11"/>
      <c r="D569" s="24"/>
      <c r="E569" s="25"/>
      <c r="F569" s="25"/>
      <c r="G569" s="26"/>
      <c r="H569" s="25"/>
      <c r="I569" s="15"/>
    </row>
    <row r="570">
      <c r="A570" s="6"/>
      <c r="B570" s="6"/>
      <c r="C570" s="6"/>
      <c r="D570" s="21"/>
      <c r="E570" s="22"/>
      <c r="F570" s="22"/>
      <c r="G570" s="23"/>
      <c r="H570" s="22"/>
      <c r="I570" s="10"/>
    </row>
    <row r="571">
      <c r="A571" s="11"/>
      <c r="B571" s="11"/>
      <c r="C571" s="11"/>
      <c r="D571" s="24"/>
      <c r="E571" s="25"/>
      <c r="F571" s="25"/>
      <c r="G571" s="26"/>
      <c r="H571" s="25"/>
      <c r="I571" s="15"/>
    </row>
    <row r="572">
      <c r="A572" s="6"/>
      <c r="B572" s="6"/>
      <c r="C572" s="6"/>
      <c r="D572" s="21"/>
      <c r="E572" s="22"/>
      <c r="F572" s="22"/>
      <c r="G572" s="23"/>
      <c r="H572" s="22"/>
      <c r="I572" s="10"/>
    </row>
    <row r="573">
      <c r="A573" s="11"/>
      <c r="B573" s="11"/>
      <c r="C573" s="11"/>
      <c r="D573" s="24"/>
      <c r="E573" s="25"/>
      <c r="F573" s="25"/>
      <c r="G573" s="26"/>
      <c r="H573" s="25"/>
      <c r="I573" s="15"/>
    </row>
    <row r="574">
      <c r="A574" s="6"/>
      <c r="B574" s="6"/>
      <c r="C574" s="6"/>
      <c r="D574" s="21"/>
      <c r="E574" s="22"/>
      <c r="F574" s="22"/>
      <c r="G574" s="23"/>
      <c r="H574" s="22"/>
      <c r="I574" s="10"/>
    </row>
    <row r="575">
      <c r="A575" s="11"/>
      <c r="B575" s="11"/>
      <c r="C575" s="11"/>
      <c r="D575" s="24"/>
      <c r="E575" s="25"/>
      <c r="F575" s="25"/>
      <c r="G575" s="26"/>
      <c r="H575" s="25"/>
      <c r="I575" s="15"/>
    </row>
    <row r="576">
      <c r="A576" s="6"/>
      <c r="B576" s="6"/>
      <c r="C576" s="6"/>
      <c r="D576" s="21"/>
      <c r="E576" s="22"/>
      <c r="F576" s="22"/>
      <c r="G576" s="23"/>
      <c r="H576" s="22"/>
      <c r="I576" s="10"/>
    </row>
    <row r="577">
      <c r="A577" s="11"/>
      <c r="B577" s="11"/>
      <c r="C577" s="11"/>
      <c r="D577" s="24"/>
      <c r="E577" s="25"/>
      <c r="F577" s="25"/>
      <c r="G577" s="26"/>
      <c r="H577" s="25"/>
      <c r="I577" s="15"/>
    </row>
    <row r="578">
      <c r="A578" s="6"/>
      <c r="B578" s="6"/>
      <c r="C578" s="6"/>
      <c r="D578" s="21"/>
      <c r="E578" s="22"/>
      <c r="F578" s="22"/>
      <c r="G578" s="23"/>
      <c r="H578" s="22"/>
      <c r="I578" s="10"/>
    </row>
    <row r="579">
      <c r="A579" s="11"/>
      <c r="B579" s="11"/>
      <c r="C579" s="11"/>
      <c r="D579" s="24"/>
      <c r="E579" s="25"/>
      <c r="F579" s="25"/>
      <c r="G579" s="26"/>
      <c r="H579" s="25"/>
      <c r="I579" s="15"/>
    </row>
    <row r="580">
      <c r="A580" s="6"/>
      <c r="B580" s="6"/>
      <c r="C580" s="6"/>
      <c r="D580" s="21"/>
      <c r="E580" s="22"/>
      <c r="F580" s="22"/>
      <c r="G580" s="23"/>
      <c r="H580" s="22"/>
      <c r="I580" s="10"/>
    </row>
    <row r="581">
      <c r="A581" s="11"/>
      <c r="B581" s="11"/>
      <c r="C581" s="11"/>
      <c r="D581" s="24"/>
      <c r="E581" s="25"/>
      <c r="F581" s="25"/>
      <c r="G581" s="26"/>
      <c r="H581" s="25"/>
      <c r="I581" s="15"/>
    </row>
    <row r="582">
      <c r="A582" s="6"/>
      <c r="B582" s="6"/>
      <c r="C582" s="6"/>
      <c r="D582" s="21"/>
      <c r="E582" s="22"/>
      <c r="F582" s="22"/>
      <c r="G582" s="23"/>
      <c r="H582" s="22"/>
      <c r="I582" s="10"/>
    </row>
    <row r="583">
      <c r="A583" s="11"/>
      <c r="B583" s="11"/>
      <c r="C583" s="11"/>
      <c r="D583" s="24"/>
      <c r="E583" s="25"/>
      <c r="F583" s="25"/>
      <c r="G583" s="26"/>
      <c r="H583" s="25"/>
      <c r="I583" s="15"/>
    </row>
    <row r="584">
      <c r="A584" s="6"/>
      <c r="B584" s="6"/>
      <c r="C584" s="6"/>
      <c r="D584" s="21"/>
      <c r="E584" s="22"/>
      <c r="F584" s="22"/>
      <c r="G584" s="23"/>
      <c r="H584" s="22"/>
      <c r="I584" s="10"/>
    </row>
    <row r="585">
      <c r="A585" s="11"/>
      <c r="B585" s="11"/>
      <c r="C585" s="11"/>
      <c r="D585" s="24"/>
      <c r="E585" s="25"/>
      <c r="F585" s="25"/>
      <c r="G585" s="26"/>
      <c r="H585" s="25"/>
      <c r="I585" s="15"/>
    </row>
    <row r="586">
      <c r="A586" s="6"/>
      <c r="B586" s="6"/>
      <c r="C586" s="6"/>
      <c r="D586" s="21"/>
      <c r="E586" s="22"/>
      <c r="F586" s="22"/>
      <c r="G586" s="23"/>
      <c r="H586" s="22"/>
      <c r="I586" s="10"/>
    </row>
    <row r="587">
      <c r="A587" s="11"/>
      <c r="B587" s="11"/>
      <c r="C587" s="11"/>
      <c r="D587" s="24"/>
      <c r="E587" s="25"/>
      <c r="F587" s="25"/>
      <c r="G587" s="26"/>
      <c r="H587" s="25"/>
      <c r="I587" s="15"/>
    </row>
    <row r="588">
      <c r="A588" s="6"/>
      <c r="B588" s="6"/>
      <c r="C588" s="6"/>
      <c r="D588" s="21"/>
      <c r="E588" s="22"/>
      <c r="F588" s="22"/>
      <c r="G588" s="23"/>
      <c r="H588" s="22"/>
      <c r="I588" s="10"/>
    </row>
    <row r="589">
      <c r="A589" s="11"/>
      <c r="B589" s="11"/>
      <c r="C589" s="11"/>
      <c r="D589" s="24"/>
      <c r="E589" s="25"/>
      <c r="F589" s="25"/>
      <c r="G589" s="26"/>
      <c r="H589" s="25"/>
      <c r="I589" s="15"/>
    </row>
    <row r="590">
      <c r="A590" s="6"/>
      <c r="B590" s="6"/>
      <c r="C590" s="6"/>
      <c r="D590" s="21"/>
      <c r="E590" s="22"/>
      <c r="F590" s="22"/>
      <c r="G590" s="23"/>
      <c r="H590" s="22"/>
      <c r="I590" s="10"/>
    </row>
    <row r="591">
      <c r="A591" s="11"/>
      <c r="B591" s="11"/>
      <c r="C591" s="11"/>
      <c r="D591" s="24"/>
      <c r="E591" s="25"/>
      <c r="F591" s="25"/>
      <c r="G591" s="26"/>
      <c r="H591" s="25"/>
      <c r="I591" s="15"/>
    </row>
    <row r="592">
      <c r="A592" s="6"/>
      <c r="B592" s="6"/>
      <c r="C592" s="6"/>
      <c r="D592" s="21"/>
      <c r="E592" s="22"/>
      <c r="F592" s="22"/>
      <c r="G592" s="23"/>
      <c r="H592" s="22"/>
      <c r="I592" s="10"/>
    </row>
    <row r="593">
      <c r="A593" s="11"/>
      <c r="B593" s="11"/>
      <c r="C593" s="11"/>
      <c r="D593" s="24"/>
      <c r="E593" s="25"/>
      <c r="F593" s="25"/>
      <c r="G593" s="26"/>
      <c r="H593" s="25"/>
      <c r="I593" s="15"/>
    </row>
    <row r="594">
      <c r="A594" s="6"/>
      <c r="B594" s="6"/>
      <c r="C594" s="6"/>
      <c r="D594" s="21"/>
      <c r="E594" s="22"/>
      <c r="F594" s="22"/>
      <c r="G594" s="23"/>
      <c r="H594" s="22"/>
      <c r="I594" s="10"/>
    </row>
    <row r="595">
      <c r="A595" s="11"/>
      <c r="B595" s="11"/>
      <c r="C595" s="11"/>
      <c r="D595" s="24"/>
      <c r="E595" s="25"/>
      <c r="F595" s="25"/>
      <c r="G595" s="26"/>
      <c r="H595" s="25"/>
      <c r="I595" s="15"/>
    </row>
    <row r="596">
      <c r="A596" s="6"/>
      <c r="B596" s="6"/>
      <c r="C596" s="6"/>
      <c r="D596" s="21"/>
      <c r="E596" s="22"/>
      <c r="F596" s="22"/>
      <c r="G596" s="23"/>
      <c r="H596" s="22"/>
      <c r="I596" s="10"/>
    </row>
    <row r="597">
      <c r="A597" s="11"/>
      <c r="B597" s="11"/>
      <c r="C597" s="11"/>
      <c r="D597" s="24"/>
      <c r="E597" s="25"/>
      <c r="F597" s="25"/>
      <c r="G597" s="26"/>
      <c r="H597" s="25"/>
      <c r="I597" s="15"/>
    </row>
    <row r="598">
      <c r="A598" s="6"/>
      <c r="B598" s="6"/>
      <c r="C598" s="6"/>
      <c r="D598" s="21"/>
      <c r="E598" s="22"/>
      <c r="F598" s="22"/>
      <c r="G598" s="23"/>
      <c r="H598" s="22"/>
      <c r="I598" s="10"/>
    </row>
    <row r="599">
      <c r="A599" s="11"/>
      <c r="B599" s="11"/>
      <c r="C599" s="11"/>
      <c r="D599" s="24"/>
      <c r="E599" s="25"/>
      <c r="F599" s="25"/>
      <c r="G599" s="26"/>
      <c r="H599" s="25"/>
      <c r="I599" s="15"/>
    </row>
    <row r="600">
      <c r="A600" s="6"/>
      <c r="B600" s="6"/>
      <c r="C600" s="6"/>
      <c r="D600" s="21"/>
      <c r="E600" s="22"/>
      <c r="F600" s="22"/>
      <c r="G600" s="23"/>
      <c r="H600" s="22"/>
      <c r="I600" s="10"/>
    </row>
    <row r="601">
      <c r="A601" s="11"/>
      <c r="B601" s="11"/>
      <c r="C601" s="11"/>
      <c r="D601" s="24"/>
      <c r="E601" s="25"/>
      <c r="F601" s="25"/>
      <c r="G601" s="26"/>
      <c r="H601" s="25"/>
      <c r="I601" s="15"/>
    </row>
    <row r="602">
      <c r="A602" s="6"/>
      <c r="B602" s="6"/>
      <c r="C602" s="6"/>
      <c r="D602" s="21"/>
      <c r="E602" s="22"/>
      <c r="F602" s="22"/>
      <c r="G602" s="23"/>
      <c r="H602" s="22"/>
      <c r="I602" s="10"/>
    </row>
    <row r="603">
      <c r="A603" s="11"/>
      <c r="B603" s="11"/>
      <c r="C603" s="11"/>
      <c r="D603" s="24"/>
      <c r="E603" s="25"/>
      <c r="F603" s="25"/>
      <c r="G603" s="26"/>
      <c r="H603" s="25"/>
      <c r="I603" s="15"/>
    </row>
    <row r="604">
      <c r="A604" s="6"/>
      <c r="B604" s="6"/>
      <c r="C604" s="6"/>
      <c r="D604" s="21"/>
      <c r="E604" s="22"/>
      <c r="F604" s="22"/>
      <c r="G604" s="23"/>
      <c r="H604" s="22"/>
      <c r="I604" s="10"/>
    </row>
    <row r="605">
      <c r="A605" s="11"/>
      <c r="B605" s="11"/>
      <c r="C605" s="11"/>
      <c r="D605" s="24"/>
      <c r="E605" s="25"/>
      <c r="F605" s="25"/>
      <c r="G605" s="26"/>
      <c r="H605" s="25"/>
      <c r="I605" s="15"/>
    </row>
    <row r="606">
      <c r="A606" s="6"/>
      <c r="B606" s="6"/>
      <c r="C606" s="6"/>
      <c r="D606" s="21"/>
      <c r="E606" s="22"/>
      <c r="F606" s="22"/>
      <c r="G606" s="23"/>
      <c r="H606" s="22"/>
      <c r="I606" s="10"/>
    </row>
    <row r="607">
      <c r="A607" s="11"/>
      <c r="B607" s="11"/>
      <c r="C607" s="11"/>
      <c r="D607" s="24"/>
      <c r="E607" s="25"/>
      <c r="F607" s="25"/>
      <c r="G607" s="26"/>
      <c r="H607" s="25"/>
      <c r="I607" s="15"/>
    </row>
    <row r="608">
      <c r="A608" s="6"/>
      <c r="B608" s="6"/>
      <c r="C608" s="6"/>
      <c r="D608" s="21"/>
      <c r="E608" s="22"/>
      <c r="F608" s="22"/>
      <c r="G608" s="23"/>
      <c r="H608" s="22"/>
      <c r="I608" s="10"/>
    </row>
    <row r="609">
      <c r="A609" s="11"/>
      <c r="B609" s="11"/>
      <c r="C609" s="11"/>
      <c r="D609" s="24"/>
      <c r="E609" s="25"/>
      <c r="F609" s="25"/>
      <c r="G609" s="26"/>
      <c r="H609" s="25"/>
      <c r="I609" s="15"/>
    </row>
    <row r="610">
      <c r="A610" s="6"/>
      <c r="B610" s="6"/>
      <c r="C610" s="6"/>
      <c r="D610" s="21"/>
      <c r="E610" s="22"/>
      <c r="F610" s="22"/>
      <c r="G610" s="23"/>
      <c r="H610" s="22"/>
      <c r="I610" s="10"/>
    </row>
    <row r="611">
      <c r="A611" s="11"/>
      <c r="B611" s="11"/>
      <c r="C611" s="11"/>
      <c r="D611" s="24"/>
      <c r="E611" s="25"/>
      <c r="F611" s="25"/>
      <c r="G611" s="26"/>
      <c r="H611" s="25"/>
      <c r="I611" s="15"/>
    </row>
    <row r="612">
      <c r="A612" s="6"/>
      <c r="B612" s="6"/>
      <c r="C612" s="6"/>
      <c r="D612" s="21"/>
      <c r="E612" s="22"/>
      <c r="F612" s="22"/>
      <c r="G612" s="23"/>
      <c r="H612" s="22"/>
      <c r="I612" s="10"/>
    </row>
    <row r="613">
      <c r="A613" s="11"/>
      <c r="B613" s="11"/>
      <c r="C613" s="11"/>
      <c r="D613" s="24"/>
      <c r="E613" s="25"/>
      <c r="F613" s="25"/>
      <c r="G613" s="26"/>
      <c r="H613" s="25"/>
      <c r="I613" s="15"/>
    </row>
    <row r="614">
      <c r="A614" s="6"/>
      <c r="B614" s="6"/>
      <c r="C614" s="6"/>
      <c r="D614" s="21"/>
      <c r="E614" s="22"/>
      <c r="F614" s="22"/>
      <c r="G614" s="23"/>
      <c r="H614" s="22"/>
      <c r="I614" s="10"/>
    </row>
    <row r="615">
      <c r="A615" s="11"/>
      <c r="B615" s="11"/>
      <c r="C615" s="11"/>
      <c r="D615" s="24"/>
      <c r="E615" s="25"/>
      <c r="F615" s="25"/>
      <c r="G615" s="26"/>
      <c r="H615" s="25"/>
      <c r="I615" s="15"/>
    </row>
    <row r="616">
      <c r="A616" s="6"/>
      <c r="B616" s="6"/>
      <c r="C616" s="6"/>
      <c r="D616" s="21"/>
      <c r="E616" s="22"/>
      <c r="F616" s="22"/>
      <c r="G616" s="23"/>
      <c r="H616" s="22"/>
      <c r="I616" s="10"/>
    </row>
    <row r="617">
      <c r="A617" s="11"/>
      <c r="B617" s="11"/>
      <c r="C617" s="11"/>
      <c r="D617" s="24"/>
      <c r="E617" s="25"/>
      <c r="F617" s="25"/>
      <c r="G617" s="26"/>
      <c r="H617" s="25"/>
      <c r="I617" s="15"/>
    </row>
    <row r="618">
      <c r="A618" s="6"/>
      <c r="B618" s="6"/>
      <c r="C618" s="6"/>
      <c r="D618" s="21"/>
      <c r="E618" s="22"/>
      <c r="F618" s="22"/>
      <c r="G618" s="23"/>
      <c r="H618" s="22"/>
      <c r="I618" s="10"/>
    </row>
    <row r="619">
      <c r="A619" s="11"/>
      <c r="B619" s="11"/>
      <c r="C619" s="11"/>
      <c r="D619" s="24"/>
      <c r="E619" s="25"/>
      <c r="F619" s="25"/>
      <c r="G619" s="26"/>
      <c r="H619" s="25"/>
      <c r="I619" s="15"/>
    </row>
    <row r="620">
      <c r="A620" s="6"/>
      <c r="B620" s="6"/>
      <c r="C620" s="6"/>
      <c r="D620" s="21"/>
      <c r="E620" s="22"/>
      <c r="F620" s="22"/>
      <c r="G620" s="23"/>
      <c r="H620" s="22"/>
      <c r="I620" s="10"/>
    </row>
    <row r="621">
      <c r="A621" s="11"/>
      <c r="B621" s="11"/>
      <c r="C621" s="11"/>
      <c r="D621" s="24"/>
      <c r="E621" s="25"/>
      <c r="F621" s="25"/>
      <c r="G621" s="26"/>
      <c r="H621" s="25"/>
      <c r="I621" s="15"/>
    </row>
    <row r="622">
      <c r="A622" s="6"/>
      <c r="B622" s="6"/>
      <c r="C622" s="6"/>
      <c r="D622" s="21"/>
      <c r="E622" s="22"/>
      <c r="F622" s="22"/>
      <c r="G622" s="23"/>
      <c r="H622" s="22"/>
      <c r="I622" s="10"/>
    </row>
    <row r="623">
      <c r="A623" s="11"/>
      <c r="B623" s="11"/>
      <c r="C623" s="11"/>
      <c r="D623" s="24"/>
      <c r="E623" s="25"/>
      <c r="F623" s="25"/>
      <c r="G623" s="26"/>
      <c r="H623" s="25"/>
      <c r="I623" s="15"/>
    </row>
    <row r="624">
      <c r="A624" s="6"/>
      <c r="B624" s="6"/>
      <c r="C624" s="6"/>
      <c r="D624" s="21"/>
      <c r="E624" s="22"/>
      <c r="F624" s="22"/>
      <c r="G624" s="23"/>
      <c r="H624" s="22"/>
      <c r="I624" s="10"/>
    </row>
    <row r="625">
      <c r="A625" s="11"/>
      <c r="B625" s="11"/>
      <c r="C625" s="11"/>
      <c r="D625" s="24"/>
      <c r="E625" s="25"/>
      <c r="F625" s="25"/>
      <c r="G625" s="26"/>
      <c r="H625" s="25"/>
      <c r="I625" s="15"/>
    </row>
    <row r="626">
      <c r="A626" s="6"/>
      <c r="B626" s="6"/>
      <c r="C626" s="6"/>
      <c r="D626" s="21"/>
      <c r="E626" s="22"/>
      <c r="F626" s="22"/>
      <c r="G626" s="23"/>
      <c r="H626" s="22"/>
      <c r="I626" s="10"/>
    </row>
    <row r="627">
      <c r="A627" s="11"/>
      <c r="B627" s="11"/>
      <c r="C627" s="11"/>
      <c r="D627" s="24"/>
      <c r="E627" s="25"/>
      <c r="F627" s="25"/>
      <c r="G627" s="26"/>
      <c r="H627" s="25"/>
      <c r="I627" s="15"/>
    </row>
    <row r="628">
      <c r="A628" s="6"/>
      <c r="B628" s="6"/>
      <c r="C628" s="6"/>
      <c r="D628" s="21"/>
      <c r="E628" s="22"/>
      <c r="F628" s="22"/>
      <c r="G628" s="23"/>
      <c r="H628" s="22"/>
      <c r="I628" s="10"/>
    </row>
    <row r="629">
      <c r="A629" s="11"/>
      <c r="B629" s="11"/>
      <c r="C629" s="11"/>
      <c r="D629" s="24"/>
      <c r="E629" s="25"/>
      <c r="F629" s="25"/>
      <c r="G629" s="26"/>
      <c r="H629" s="25"/>
      <c r="I629" s="15"/>
    </row>
    <row r="630">
      <c r="A630" s="6"/>
      <c r="B630" s="6"/>
      <c r="C630" s="6"/>
      <c r="D630" s="21"/>
      <c r="E630" s="22"/>
      <c r="F630" s="22"/>
      <c r="G630" s="23"/>
      <c r="H630" s="22"/>
      <c r="I630" s="10"/>
    </row>
    <row r="631">
      <c r="A631" s="11"/>
      <c r="B631" s="11"/>
      <c r="C631" s="11"/>
      <c r="D631" s="24"/>
      <c r="E631" s="25"/>
      <c r="F631" s="25"/>
      <c r="G631" s="26"/>
      <c r="H631" s="25"/>
      <c r="I631" s="15"/>
    </row>
    <row r="632">
      <c r="A632" s="6"/>
      <c r="B632" s="6"/>
      <c r="C632" s="6"/>
      <c r="D632" s="21"/>
      <c r="E632" s="22"/>
      <c r="F632" s="22"/>
      <c r="G632" s="23"/>
      <c r="H632" s="22"/>
      <c r="I632" s="10"/>
    </row>
    <row r="633">
      <c r="A633" s="11"/>
      <c r="B633" s="11"/>
      <c r="C633" s="11"/>
      <c r="D633" s="24"/>
      <c r="E633" s="25"/>
      <c r="F633" s="25"/>
      <c r="G633" s="26"/>
      <c r="H633" s="25"/>
      <c r="I633" s="15"/>
    </row>
    <row r="634">
      <c r="A634" s="6"/>
      <c r="B634" s="6"/>
      <c r="C634" s="6"/>
      <c r="D634" s="21"/>
      <c r="E634" s="22"/>
      <c r="F634" s="22"/>
      <c r="G634" s="23"/>
      <c r="H634" s="22"/>
      <c r="I634" s="10"/>
    </row>
    <row r="635">
      <c r="A635" s="11"/>
      <c r="B635" s="11"/>
      <c r="C635" s="11"/>
      <c r="D635" s="24"/>
      <c r="E635" s="25"/>
      <c r="F635" s="25"/>
      <c r="G635" s="26"/>
      <c r="H635" s="25"/>
      <c r="I635" s="15"/>
    </row>
    <row r="636">
      <c r="A636" s="6"/>
      <c r="B636" s="6"/>
      <c r="C636" s="6"/>
      <c r="D636" s="21"/>
      <c r="E636" s="22"/>
      <c r="F636" s="22"/>
      <c r="G636" s="23"/>
      <c r="H636" s="22"/>
      <c r="I636" s="10"/>
    </row>
    <row r="637">
      <c r="A637" s="11"/>
      <c r="B637" s="11"/>
      <c r="C637" s="11"/>
      <c r="D637" s="24"/>
      <c r="E637" s="25"/>
      <c r="F637" s="25"/>
      <c r="G637" s="26"/>
      <c r="H637" s="25"/>
      <c r="I637" s="15"/>
    </row>
    <row r="638">
      <c r="A638" s="6"/>
      <c r="B638" s="6"/>
      <c r="C638" s="6"/>
      <c r="D638" s="21"/>
      <c r="E638" s="22"/>
      <c r="F638" s="22"/>
      <c r="G638" s="23"/>
      <c r="H638" s="22"/>
      <c r="I638" s="10"/>
    </row>
    <row r="639">
      <c r="A639" s="11"/>
      <c r="B639" s="11"/>
      <c r="C639" s="11"/>
      <c r="D639" s="24"/>
      <c r="E639" s="25"/>
      <c r="F639" s="25"/>
      <c r="G639" s="26"/>
      <c r="H639" s="25"/>
      <c r="I639" s="15"/>
    </row>
    <row r="640">
      <c r="A640" s="6"/>
      <c r="B640" s="6"/>
      <c r="C640" s="6"/>
      <c r="D640" s="21"/>
      <c r="E640" s="22"/>
      <c r="F640" s="22"/>
      <c r="G640" s="23"/>
      <c r="H640" s="22"/>
      <c r="I640" s="10"/>
    </row>
    <row r="641">
      <c r="A641" s="11"/>
      <c r="B641" s="11"/>
      <c r="C641" s="11"/>
      <c r="D641" s="24"/>
      <c r="E641" s="25"/>
      <c r="F641" s="25"/>
      <c r="G641" s="26"/>
      <c r="H641" s="25"/>
      <c r="I641" s="15"/>
    </row>
    <row r="642">
      <c r="A642" s="6"/>
      <c r="B642" s="6"/>
      <c r="C642" s="6"/>
      <c r="D642" s="21"/>
      <c r="E642" s="22"/>
      <c r="F642" s="22"/>
      <c r="G642" s="23"/>
      <c r="H642" s="22"/>
      <c r="I642" s="10"/>
    </row>
    <row r="643">
      <c r="A643" s="11"/>
      <c r="B643" s="11"/>
      <c r="C643" s="11"/>
      <c r="D643" s="24"/>
      <c r="E643" s="25"/>
      <c r="F643" s="25"/>
      <c r="G643" s="26"/>
      <c r="H643" s="25"/>
      <c r="I643" s="15"/>
    </row>
    <row r="644">
      <c r="A644" s="6"/>
      <c r="B644" s="6"/>
      <c r="C644" s="6"/>
      <c r="D644" s="21"/>
      <c r="E644" s="22"/>
      <c r="F644" s="22"/>
      <c r="G644" s="23"/>
      <c r="H644" s="22"/>
      <c r="I644" s="10"/>
    </row>
    <row r="645">
      <c r="A645" s="11"/>
      <c r="B645" s="11"/>
      <c r="C645" s="11"/>
      <c r="D645" s="24"/>
      <c r="E645" s="25"/>
      <c r="F645" s="25"/>
      <c r="G645" s="26"/>
      <c r="H645" s="25"/>
      <c r="I645" s="15"/>
    </row>
    <row r="646">
      <c r="A646" s="6"/>
      <c r="B646" s="6"/>
      <c r="C646" s="6"/>
      <c r="D646" s="21"/>
      <c r="E646" s="22"/>
      <c r="F646" s="22"/>
      <c r="G646" s="23"/>
      <c r="H646" s="22"/>
      <c r="I646" s="10"/>
    </row>
    <row r="647">
      <c r="A647" s="11"/>
      <c r="B647" s="11"/>
      <c r="C647" s="11"/>
      <c r="D647" s="24"/>
      <c r="E647" s="25"/>
      <c r="F647" s="25"/>
      <c r="G647" s="26"/>
      <c r="H647" s="25"/>
      <c r="I647" s="15"/>
    </row>
    <row r="648">
      <c r="A648" s="6"/>
      <c r="B648" s="6"/>
      <c r="C648" s="6"/>
      <c r="D648" s="21"/>
      <c r="E648" s="22"/>
      <c r="F648" s="22"/>
      <c r="G648" s="23"/>
      <c r="H648" s="22"/>
      <c r="I648" s="10"/>
    </row>
    <row r="649">
      <c r="A649" s="11"/>
      <c r="B649" s="11"/>
      <c r="C649" s="11"/>
      <c r="D649" s="24"/>
      <c r="E649" s="25"/>
      <c r="F649" s="25"/>
      <c r="G649" s="26"/>
      <c r="H649" s="25"/>
      <c r="I649" s="15"/>
    </row>
    <row r="650">
      <c r="A650" s="6"/>
      <c r="B650" s="6"/>
      <c r="C650" s="6"/>
      <c r="D650" s="21"/>
      <c r="E650" s="22"/>
      <c r="F650" s="22"/>
      <c r="G650" s="23"/>
      <c r="H650" s="22"/>
      <c r="I650" s="10"/>
    </row>
    <row r="651">
      <c r="A651" s="11"/>
      <c r="B651" s="11"/>
      <c r="C651" s="11"/>
      <c r="D651" s="24"/>
      <c r="E651" s="25"/>
      <c r="F651" s="25"/>
      <c r="G651" s="26"/>
      <c r="H651" s="25"/>
      <c r="I651" s="15"/>
    </row>
    <row r="652">
      <c r="A652" s="6"/>
      <c r="B652" s="6"/>
      <c r="C652" s="6"/>
      <c r="D652" s="21"/>
      <c r="E652" s="22"/>
      <c r="F652" s="22"/>
      <c r="G652" s="23"/>
      <c r="H652" s="22"/>
      <c r="I652" s="10"/>
    </row>
    <row r="653">
      <c r="A653" s="11"/>
      <c r="B653" s="11"/>
      <c r="C653" s="11"/>
      <c r="D653" s="24"/>
      <c r="E653" s="25"/>
      <c r="F653" s="25"/>
      <c r="G653" s="26"/>
      <c r="H653" s="25"/>
      <c r="I653" s="15"/>
    </row>
    <row r="654">
      <c r="A654" s="6"/>
      <c r="B654" s="6"/>
      <c r="C654" s="6"/>
      <c r="D654" s="21"/>
      <c r="E654" s="22"/>
      <c r="F654" s="22"/>
      <c r="G654" s="23"/>
      <c r="H654" s="22"/>
      <c r="I654" s="10"/>
    </row>
    <row r="655">
      <c r="A655" s="11"/>
      <c r="B655" s="11"/>
      <c r="C655" s="11"/>
      <c r="D655" s="24"/>
      <c r="E655" s="25"/>
      <c r="F655" s="25"/>
      <c r="G655" s="26"/>
      <c r="H655" s="25"/>
      <c r="I655" s="15"/>
    </row>
    <row r="656">
      <c r="A656" s="6"/>
      <c r="B656" s="6"/>
      <c r="C656" s="6"/>
      <c r="D656" s="21"/>
      <c r="E656" s="22"/>
      <c r="F656" s="22"/>
      <c r="G656" s="23"/>
      <c r="H656" s="22"/>
      <c r="I656" s="10"/>
    </row>
    <row r="657">
      <c r="A657" s="11"/>
      <c r="B657" s="11"/>
      <c r="C657" s="11"/>
      <c r="D657" s="24"/>
      <c r="E657" s="25"/>
      <c r="F657" s="25"/>
      <c r="G657" s="26"/>
      <c r="H657" s="25"/>
      <c r="I657" s="15"/>
    </row>
    <row r="658">
      <c r="A658" s="6"/>
      <c r="B658" s="6"/>
      <c r="C658" s="6"/>
      <c r="D658" s="21"/>
      <c r="E658" s="22"/>
      <c r="F658" s="22"/>
      <c r="G658" s="23"/>
      <c r="H658" s="22"/>
      <c r="I658" s="10"/>
    </row>
    <row r="659">
      <c r="A659" s="11"/>
      <c r="B659" s="11"/>
      <c r="C659" s="11"/>
      <c r="D659" s="24"/>
      <c r="E659" s="25"/>
      <c r="F659" s="25"/>
      <c r="G659" s="26"/>
      <c r="H659" s="25"/>
      <c r="I659" s="15"/>
    </row>
    <row r="660">
      <c r="A660" s="6"/>
      <c r="B660" s="6"/>
      <c r="C660" s="6"/>
      <c r="D660" s="21"/>
      <c r="E660" s="22"/>
      <c r="F660" s="22"/>
      <c r="G660" s="23"/>
      <c r="H660" s="22"/>
      <c r="I660" s="10"/>
    </row>
    <row r="661">
      <c r="A661" s="11"/>
      <c r="B661" s="11"/>
      <c r="C661" s="11"/>
      <c r="D661" s="24"/>
      <c r="E661" s="25"/>
      <c r="F661" s="25"/>
      <c r="G661" s="26"/>
      <c r="H661" s="25"/>
      <c r="I661" s="15"/>
    </row>
    <row r="662">
      <c r="A662" s="6"/>
      <c r="B662" s="6"/>
      <c r="C662" s="6"/>
      <c r="D662" s="21"/>
      <c r="E662" s="22"/>
      <c r="F662" s="22"/>
      <c r="G662" s="23"/>
      <c r="H662" s="22"/>
      <c r="I662" s="10"/>
    </row>
    <row r="663">
      <c r="A663" s="11"/>
      <c r="B663" s="11"/>
      <c r="C663" s="11"/>
      <c r="D663" s="24"/>
      <c r="E663" s="25"/>
      <c r="F663" s="25"/>
      <c r="G663" s="26"/>
      <c r="H663" s="25"/>
      <c r="I663" s="15"/>
    </row>
    <row r="664">
      <c r="A664" s="6"/>
      <c r="B664" s="6"/>
      <c r="C664" s="6"/>
      <c r="D664" s="21"/>
      <c r="E664" s="22"/>
      <c r="F664" s="22"/>
      <c r="G664" s="23"/>
      <c r="H664" s="22"/>
      <c r="I664" s="10"/>
    </row>
    <row r="665">
      <c r="A665" s="11"/>
      <c r="B665" s="11"/>
      <c r="C665" s="11"/>
      <c r="D665" s="24"/>
      <c r="E665" s="25"/>
      <c r="F665" s="25"/>
      <c r="G665" s="26"/>
      <c r="H665" s="25"/>
      <c r="I665" s="15"/>
    </row>
    <row r="666">
      <c r="A666" s="6"/>
      <c r="B666" s="6"/>
      <c r="C666" s="6"/>
      <c r="D666" s="21"/>
      <c r="E666" s="22"/>
      <c r="F666" s="22"/>
      <c r="G666" s="23"/>
      <c r="H666" s="22"/>
      <c r="I666" s="10"/>
    </row>
    <row r="667">
      <c r="A667" s="11"/>
      <c r="B667" s="11"/>
      <c r="C667" s="11"/>
      <c r="D667" s="24"/>
      <c r="E667" s="25"/>
      <c r="F667" s="25"/>
      <c r="G667" s="26"/>
      <c r="H667" s="25"/>
      <c r="I667" s="15"/>
    </row>
    <row r="668">
      <c r="A668" s="6"/>
      <c r="B668" s="6"/>
      <c r="C668" s="6"/>
      <c r="D668" s="21"/>
      <c r="E668" s="22"/>
      <c r="F668" s="22"/>
      <c r="G668" s="23"/>
      <c r="H668" s="22"/>
      <c r="I668" s="10"/>
    </row>
    <row r="669">
      <c r="A669" s="11"/>
      <c r="B669" s="11"/>
      <c r="C669" s="11"/>
      <c r="D669" s="24"/>
      <c r="E669" s="25"/>
      <c r="F669" s="25"/>
      <c r="G669" s="26"/>
      <c r="H669" s="25"/>
      <c r="I669" s="15"/>
    </row>
    <row r="670">
      <c r="A670" s="6"/>
      <c r="B670" s="6"/>
      <c r="C670" s="6"/>
      <c r="D670" s="21"/>
      <c r="E670" s="22"/>
      <c r="F670" s="22"/>
      <c r="G670" s="23"/>
      <c r="H670" s="22"/>
      <c r="I670" s="10"/>
    </row>
    <row r="671">
      <c r="A671" s="11"/>
      <c r="B671" s="11"/>
      <c r="C671" s="11"/>
      <c r="D671" s="24"/>
      <c r="E671" s="25"/>
      <c r="F671" s="25"/>
      <c r="G671" s="26"/>
      <c r="H671" s="25"/>
      <c r="I671" s="15"/>
    </row>
    <row r="672">
      <c r="A672" s="6"/>
      <c r="B672" s="6"/>
      <c r="C672" s="6"/>
      <c r="D672" s="21"/>
      <c r="E672" s="22"/>
      <c r="F672" s="22"/>
      <c r="G672" s="23"/>
      <c r="H672" s="22"/>
      <c r="I672" s="10"/>
    </row>
    <row r="673">
      <c r="A673" s="11"/>
      <c r="B673" s="11"/>
      <c r="C673" s="11"/>
      <c r="D673" s="24"/>
      <c r="E673" s="25"/>
      <c r="F673" s="25"/>
      <c r="G673" s="26"/>
      <c r="H673" s="25"/>
      <c r="I673" s="15"/>
    </row>
    <row r="674">
      <c r="A674" s="6"/>
      <c r="B674" s="6"/>
      <c r="C674" s="6"/>
      <c r="D674" s="21"/>
      <c r="E674" s="22"/>
      <c r="F674" s="22"/>
      <c r="G674" s="23"/>
      <c r="H674" s="22"/>
      <c r="I674" s="10"/>
    </row>
    <row r="675">
      <c r="A675" s="11"/>
      <c r="B675" s="11"/>
      <c r="C675" s="11"/>
      <c r="D675" s="24"/>
      <c r="E675" s="25"/>
      <c r="F675" s="25"/>
      <c r="G675" s="26"/>
      <c r="H675" s="25"/>
      <c r="I675" s="15"/>
    </row>
    <row r="676">
      <c r="A676" s="6"/>
      <c r="B676" s="6"/>
      <c r="C676" s="6"/>
      <c r="D676" s="21"/>
      <c r="E676" s="22"/>
      <c r="F676" s="22"/>
      <c r="G676" s="23"/>
      <c r="H676" s="22"/>
      <c r="I676" s="10"/>
    </row>
    <row r="677">
      <c r="A677" s="11"/>
      <c r="B677" s="11"/>
      <c r="C677" s="11"/>
      <c r="D677" s="24"/>
      <c r="E677" s="25"/>
      <c r="F677" s="25"/>
      <c r="G677" s="26"/>
      <c r="H677" s="25"/>
      <c r="I677" s="15"/>
    </row>
    <row r="678">
      <c r="A678" s="6"/>
      <c r="B678" s="6"/>
      <c r="C678" s="6"/>
      <c r="D678" s="21"/>
      <c r="E678" s="22"/>
      <c r="F678" s="22"/>
      <c r="G678" s="23"/>
      <c r="H678" s="22"/>
      <c r="I678" s="10"/>
    </row>
    <row r="679">
      <c r="A679" s="11"/>
      <c r="B679" s="11"/>
      <c r="C679" s="11"/>
      <c r="D679" s="24"/>
      <c r="E679" s="25"/>
      <c r="F679" s="25"/>
      <c r="G679" s="26"/>
      <c r="H679" s="25"/>
      <c r="I679" s="15"/>
    </row>
    <row r="680">
      <c r="A680" s="6"/>
      <c r="B680" s="6"/>
      <c r="C680" s="6"/>
      <c r="D680" s="21"/>
      <c r="E680" s="22"/>
      <c r="F680" s="22"/>
      <c r="G680" s="23"/>
      <c r="H680" s="22"/>
      <c r="I680" s="10"/>
    </row>
    <row r="681">
      <c r="A681" s="11"/>
      <c r="B681" s="11"/>
      <c r="C681" s="11"/>
      <c r="D681" s="24"/>
      <c r="E681" s="25"/>
      <c r="F681" s="25"/>
      <c r="G681" s="26"/>
      <c r="H681" s="25"/>
      <c r="I681" s="15"/>
    </row>
    <row r="682">
      <c r="A682" s="6"/>
      <c r="B682" s="6"/>
      <c r="C682" s="6"/>
      <c r="D682" s="21"/>
      <c r="E682" s="22"/>
      <c r="F682" s="22"/>
      <c r="G682" s="23"/>
      <c r="H682" s="22"/>
      <c r="I682" s="10"/>
    </row>
    <row r="683">
      <c r="A683" s="11"/>
      <c r="B683" s="11"/>
      <c r="C683" s="11"/>
      <c r="D683" s="24"/>
      <c r="E683" s="25"/>
      <c r="F683" s="25"/>
      <c r="G683" s="26"/>
      <c r="H683" s="25"/>
      <c r="I683" s="15"/>
    </row>
    <row r="684">
      <c r="A684" s="6"/>
      <c r="B684" s="6"/>
      <c r="C684" s="6"/>
      <c r="D684" s="21"/>
      <c r="E684" s="22"/>
      <c r="F684" s="22"/>
      <c r="G684" s="23"/>
      <c r="H684" s="22"/>
      <c r="I684" s="10"/>
    </row>
    <row r="685">
      <c r="A685" s="11"/>
      <c r="B685" s="11"/>
      <c r="C685" s="11"/>
      <c r="D685" s="24"/>
      <c r="E685" s="25"/>
      <c r="F685" s="25"/>
      <c r="G685" s="26"/>
      <c r="H685" s="25"/>
      <c r="I685" s="15"/>
    </row>
    <row r="686">
      <c r="A686" s="6"/>
      <c r="B686" s="6"/>
      <c r="C686" s="6"/>
      <c r="D686" s="21"/>
      <c r="E686" s="22"/>
      <c r="F686" s="22"/>
      <c r="G686" s="23"/>
      <c r="H686" s="22"/>
      <c r="I686" s="10"/>
    </row>
    <row r="687">
      <c r="A687" s="11"/>
      <c r="B687" s="11"/>
      <c r="C687" s="11"/>
      <c r="D687" s="24"/>
      <c r="E687" s="25"/>
      <c r="F687" s="25"/>
      <c r="G687" s="26"/>
      <c r="H687" s="25"/>
      <c r="I687" s="15"/>
    </row>
    <row r="688">
      <c r="A688" s="6"/>
      <c r="B688" s="6"/>
      <c r="C688" s="6"/>
      <c r="D688" s="21"/>
      <c r="E688" s="22"/>
      <c r="F688" s="22"/>
      <c r="G688" s="23"/>
      <c r="H688" s="22"/>
      <c r="I688" s="10"/>
    </row>
    <row r="689">
      <c r="A689" s="11"/>
      <c r="B689" s="11"/>
      <c r="C689" s="11"/>
      <c r="D689" s="24"/>
      <c r="E689" s="25"/>
      <c r="F689" s="25"/>
      <c r="G689" s="26"/>
      <c r="H689" s="25"/>
      <c r="I689" s="15"/>
    </row>
    <row r="690">
      <c r="A690" s="6"/>
      <c r="B690" s="6"/>
      <c r="C690" s="6"/>
      <c r="D690" s="21"/>
      <c r="E690" s="22"/>
      <c r="F690" s="22"/>
      <c r="G690" s="23"/>
      <c r="H690" s="22"/>
      <c r="I690" s="10"/>
    </row>
    <row r="691">
      <c r="A691" s="11"/>
      <c r="B691" s="11"/>
      <c r="C691" s="11"/>
      <c r="D691" s="24"/>
      <c r="E691" s="25"/>
      <c r="F691" s="25"/>
      <c r="G691" s="26"/>
      <c r="H691" s="25"/>
      <c r="I691" s="15"/>
    </row>
    <row r="692">
      <c r="A692" s="6"/>
      <c r="B692" s="6"/>
      <c r="C692" s="6"/>
      <c r="D692" s="21"/>
      <c r="E692" s="22"/>
      <c r="F692" s="22"/>
      <c r="G692" s="23"/>
      <c r="H692" s="22"/>
      <c r="I692" s="10"/>
    </row>
    <row r="693">
      <c r="A693" s="11"/>
      <c r="B693" s="11"/>
      <c r="C693" s="11"/>
      <c r="D693" s="24"/>
      <c r="E693" s="25"/>
      <c r="F693" s="25"/>
      <c r="G693" s="26"/>
      <c r="H693" s="25"/>
      <c r="I693" s="15"/>
    </row>
    <row r="694">
      <c r="A694" s="6"/>
      <c r="B694" s="6"/>
      <c r="C694" s="6"/>
      <c r="D694" s="21"/>
      <c r="E694" s="22"/>
      <c r="F694" s="22"/>
      <c r="G694" s="23"/>
      <c r="H694" s="22"/>
      <c r="I694" s="10"/>
    </row>
    <row r="695">
      <c r="A695" s="11"/>
      <c r="B695" s="11"/>
      <c r="C695" s="11"/>
      <c r="D695" s="24"/>
      <c r="E695" s="25"/>
      <c r="F695" s="25"/>
      <c r="G695" s="26"/>
      <c r="H695" s="25"/>
      <c r="I695" s="15"/>
    </row>
    <row r="696">
      <c r="A696" s="6"/>
      <c r="B696" s="6"/>
      <c r="C696" s="6"/>
      <c r="D696" s="21"/>
      <c r="E696" s="22"/>
      <c r="F696" s="22"/>
      <c r="G696" s="23"/>
      <c r="H696" s="22"/>
      <c r="I696" s="10"/>
    </row>
    <row r="697">
      <c r="A697" s="11"/>
      <c r="B697" s="11"/>
      <c r="C697" s="11"/>
      <c r="D697" s="24"/>
      <c r="E697" s="25"/>
      <c r="F697" s="25"/>
      <c r="G697" s="26"/>
      <c r="H697" s="25"/>
      <c r="I697" s="15"/>
    </row>
    <row r="698">
      <c r="A698" s="6"/>
      <c r="B698" s="6"/>
      <c r="C698" s="6"/>
      <c r="D698" s="21"/>
      <c r="E698" s="22"/>
      <c r="F698" s="22"/>
      <c r="G698" s="23"/>
      <c r="H698" s="22"/>
      <c r="I698" s="10"/>
    </row>
    <row r="699">
      <c r="A699" s="11"/>
      <c r="B699" s="11"/>
      <c r="C699" s="11"/>
      <c r="D699" s="24"/>
      <c r="E699" s="25"/>
      <c r="F699" s="25"/>
      <c r="G699" s="26"/>
      <c r="H699" s="25"/>
      <c r="I699" s="15"/>
    </row>
    <row r="700">
      <c r="A700" s="6"/>
      <c r="B700" s="6"/>
      <c r="C700" s="6"/>
      <c r="D700" s="21"/>
      <c r="E700" s="22"/>
      <c r="F700" s="22"/>
      <c r="G700" s="23"/>
      <c r="H700" s="22"/>
      <c r="I700" s="10"/>
    </row>
    <row r="701">
      <c r="A701" s="11"/>
      <c r="B701" s="11"/>
      <c r="C701" s="11"/>
      <c r="D701" s="24"/>
      <c r="E701" s="25"/>
      <c r="F701" s="25"/>
      <c r="G701" s="26"/>
      <c r="H701" s="25"/>
      <c r="I701" s="15"/>
    </row>
    <row r="702">
      <c r="A702" s="6"/>
      <c r="B702" s="6"/>
      <c r="C702" s="6"/>
      <c r="D702" s="21"/>
      <c r="E702" s="22"/>
      <c r="F702" s="22"/>
      <c r="G702" s="23"/>
      <c r="H702" s="22"/>
      <c r="I702" s="10"/>
    </row>
    <row r="703">
      <c r="A703" s="11"/>
      <c r="B703" s="11"/>
      <c r="C703" s="11"/>
      <c r="D703" s="24"/>
      <c r="E703" s="25"/>
      <c r="F703" s="25"/>
      <c r="G703" s="26"/>
      <c r="H703" s="25"/>
      <c r="I703" s="15"/>
    </row>
    <row r="704">
      <c r="A704" s="6"/>
      <c r="B704" s="6"/>
      <c r="C704" s="6"/>
      <c r="D704" s="21"/>
      <c r="E704" s="22"/>
      <c r="F704" s="22"/>
      <c r="G704" s="23"/>
      <c r="H704" s="22"/>
      <c r="I704" s="10"/>
    </row>
    <row r="705">
      <c r="A705" s="11"/>
      <c r="B705" s="11"/>
      <c r="C705" s="11"/>
      <c r="D705" s="24"/>
      <c r="E705" s="25"/>
      <c r="F705" s="25"/>
      <c r="G705" s="26"/>
      <c r="H705" s="25"/>
      <c r="I705" s="15"/>
    </row>
    <row r="706">
      <c r="A706" s="6"/>
      <c r="B706" s="6"/>
      <c r="C706" s="6"/>
      <c r="D706" s="21"/>
      <c r="E706" s="22"/>
      <c r="F706" s="22"/>
      <c r="G706" s="23"/>
      <c r="H706" s="22"/>
      <c r="I706" s="10"/>
    </row>
    <row r="707">
      <c r="A707" s="11"/>
      <c r="B707" s="11"/>
      <c r="C707" s="11"/>
      <c r="D707" s="24"/>
      <c r="E707" s="25"/>
      <c r="F707" s="25"/>
      <c r="G707" s="26"/>
      <c r="H707" s="25"/>
      <c r="I707" s="15"/>
    </row>
    <row r="708">
      <c r="A708" s="6"/>
      <c r="B708" s="6"/>
      <c r="C708" s="6"/>
      <c r="D708" s="21"/>
      <c r="E708" s="22"/>
      <c r="F708" s="22"/>
      <c r="G708" s="23"/>
      <c r="H708" s="22"/>
      <c r="I708" s="10"/>
    </row>
    <row r="709">
      <c r="A709" s="11"/>
      <c r="B709" s="11"/>
      <c r="C709" s="11"/>
      <c r="D709" s="24"/>
      <c r="E709" s="25"/>
      <c r="F709" s="25"/>
      <c r="G709" s="26"/>
      <c r="H709" s="25"/>
      <c r="I709" s="15"/>
    </row>
    <row r="710">
      <c r="A710" s="6"/>
      <c r="B710" s="6"/>
      <c r="C710" s="6"/>
      <c r="D710" s="21"/>
      <c r="E710" s="22"/>
      <c r="F710" s="22"/>
      <c r="G710" s="23"/>
      <c r="H710" s="22"/>
      <c r="I710" s="10"/>
    </row>
    <row r="711">
      <c r="A711" s="11"/>
      <c r="B711" s="11"/>
      <c r="C711" s="11"/>
      <c r="D711" s="24"/>
      <c r="E711" s="25"/>
      <c r="F711" s="25"/>
      <c r="G711" s="26"/>
      <c r="H711" s="25"/>
      <c r="I711" s="15"/>
    </row>
    <row r="712">
      <c r="A712" s="6"/>
      <c r="B712" s="6"/>
      <c r="C712" s="6"/>
      <c r="D712" s="21"/>
      <c r="E712" s="22"/>
      <c r="F712" s="22"/>
      <c r="G712" s="23"/>
      <c r="H712" s="22"/>
      <c r="I712" s="10"/>
    </row>
    <row r="713">
      <c r="A713" s="11"/>
      <c r="B713" s="11"/>
      <c r="C713" s="11"/>
      <c r="D713" s="24"/>
      <c r="E713" s="25"/>
      <c r="F713" s="25"/>
      <c r="G713" s="26"/>
      <c r="H713" s="25"/>
      <c r="I713" s="15"/>
    </row>
    <row r="714">
      <c r="A714" s="6"/>
      <c r="B714" s="6"/>
      <c r="C714" s="6"/>
      <c r="D714" s="21"/>
      <c r="E714" s="22"/>
      <c r="F714" s="22"/>
      <c r="G714" s="23"/>
      <c r="H714" s="22"/>
      <c r="I714" s="10"/>
    </row>
    <row r="715">
      <c r="A715" s="11"/>
      <c r="B715" s="11"/>
      <c r="C715" s="11"/>
      <c r="D715" s="24"/>
      <c r="E715" s="25"/>
      <c r="F715" s="25"/>
      <c r="G715" s="26"/>
      <c r="H715" s="25"/>
      <c r="I715" s="15"/>
    </row>
    <row r="716">
      <c r="A716" s="6"/>
      <c r="B716" s="6"/>
      <c r="C716" s="6"/>
      <c r="D716" s="21"/>
      <c r="E716" s="22"/>
      <c r="F716" s="22"/>
      <c r="G716" s="23"/>
      <c r="H716" s="22"/>
      <c r="I716" s="10"/>
    </row>
    <row r="717">
      <c r="A717" s="11"/>
      <c r="B717" s="11"/>
      <c r="C717" s="11"/>
      <c r="D717" s="24"/>
      <c r="E717" s="25"/>
      <c r="F717" s="25"/>
      <c r="G717" s="26"/>
      <c r="H717" s="25"/>
      <c r="I717" s="15"/>
    </row>
    <row r="718">
      <c r="A718" s="6"/>
      <c r="B718" s="6"/>
      <c r="C718" s="6"/>
      <c r="D718" s="21"/>
      <c r="E718" s="22"/>
      <c r="F718" s="22"/>
      <c r="G718" s="23"/>
      <c r="H718" s="22"/>
      <c r="I718" s="10"/>
    </row>
    <row r="719">
      <c r="A719" s="11"/>
      <c r="B719" s="11"/>
      <c r="C719" s="11"/>
      <c r="D719" s="24"/>
      <c r="E719" s="25"/>
      <c r="F719" s="25"/>
      <c r="G719" s="26"/>
      <c r="H719" s="25"/>
      <c r="I719" s="15"/>
    </row>
    <row r="720">
      <c r="A720" s="6"/>
      <c r="B720" s="6"/>
      <c r="C720" s="6"/>
      <c r="D720" s="21"/>
      <c r="E720" s="22"/>
      <c r="F720" s="22"/>
      <c r="G720" s="23"/>
      <c r="H720" s="22"/>
      <c r="I720" s="10"/>
    </row>
    <row r="721">
      <c r="A721" s="11"/>
      <c r="B721" s="11"/>
      <c r="C721" s="11"/>
      <c r="D721" s="24"/>
      <c r="E721" s="25"/>
      <c r="F721" s="25"/>
      <c r="G721" s="26"/>
      <c r="H721" s="25"/>
      <c r="I721" s="15"/>
    </row>
    <row r="722">
      <c r="A722" s="6"/>
      <c r="B722" s="6"/>
      <c r="C722" s="6"/>
      <c r="D722" s="21"/>
      <c r="E722" s="22"/>
      <c r="F722" s="22"/>
      <c r="G722" s="23"/>
      <c r="H722" s="22"/>
      <c r="I722" s="10"/>
    </row>
    <row r="723">
      <c r="A723" s="11"/>
      <c r="B723" s="11"/>
      <c r="C723" s="11"/>
      <c r="D723" s="24"/>
      <c r="E723" s="25"/>
      <c r="F723" s="25"/>
      <c r="G723" s="26"/>
      <c r="H723" s="25"/>
      <c r="I723" s="15"/>
    </row>
    <row r="724">
      <c r="A724" s="6"/>
      <c r="B724" s="6"/>
      <c r="C724" s="6"/>
      <c r="D724" s="21"/>
      <c r="E724" s="22"/>
      <c r="F724" s="22"/>
      <c r="G724" s="23"/>
      <c r="H724" s="22"/>
      <c r="I724" s="10"/>
    </row>
    <row r="725">
      <c r="A725" s="11"/>
      <c r="B725" s="11"/>
      <c r="C725" s="11"/>
      <c r="D725" s="24"/>
      <c r="E725" s="25"/>
      <c r="F725" s="25"/>
      <c r="G725" s="26"/>
      <c r="H725" s="25"/>
      <c r="I725" s="15"/>
    </row>
    <row r="726">
      <c r="A726" s="6"/>
      <c r="B726" s="6"/>
      <c r="C726" s="6"/>
      <c r="D726" s="21"/>
      <c r="E726" s="22"/>
      <c r="F726" s="22"/>
      <c r="G726" s="23"/>
      <c r="H726" s="22"/>
      <c r="I726" s="10"/>
    </row>
    <row r="727">
      <c r="A727" s="11"/>
      <c r="B727" s="11"/>
      <c r="C727" s="11"/>
      <c r="D727" s="24"/>
      <c r="E727" s="25"/>
      <c r="F727" s="25"/>
      <c r="G727" s="26"/>
      <c r="H727" s="25"/>
      <c r="I727" s="15"/>
    </row>
    <row r="728">
      <c r="A728" s="6"/>
      <c r="B728" s="6"/>
      <c r="C728" s="6"/>
      <c r="D728" s="21"/>
      <c r="E728" s="22"/>
      <c r="F728" s="22"/>
      <c r="G728" s="23"/>
      <c r="H728" s="22"/>
      <c r="I728" s="10"/>
    </row>
    <row r="729">
      <c r="A729" s="11"/>
      <c r="B729" s="11"/>
      <c r="C729" s="11"/>
      <c r="D729" s="24"/>
      <c r="E729" s="25"/>
      <c r="F729" s="25"/>
      <c r="G729" s="26"/>
      <c r="H729" s="25"/>
      <c r="I729" s="15"/>
    </row>
    <row r="730">
      <c r="A730" s="6"/>
      <c r="B730" s="6"/>
      <c r="C730" s="6"/>
      <c r="D730" s="21"/>
      <c r="E730" s="22"/>
      <c r="F730" s="22"/>
      <c r="G730" s="23"/>
      <c r="H730" s="22"/>
      <c r="I730" s="10"/>
    </row>
    <row r="731">
      <c r="A731" s="11"/>
      <c r="B731" s="11"/>
      <c r="C731" s="11"/>
      <c r="D731" s="24"/>
      <c r="E731" s="25"/>
      <c r="F731" s="25"/>
      <c r="G731" s="26"/>
      <c r="H731" s="25"/>
      <c r="I731" s="15"/>
    </row>
    <row r="732">
      <c r="A732" s="6"/>
      <c r="B732" s="6"/>
      <c r="C732" s="6"/>
      <c r="D732" s="21"/>
      <c r="E732" s="22"/>
      <c r="F732" s="22"/>
      <c r="G732" s="23"/>
      <c r="H732" s="22"/>
      <c r="I732" s="10"/>
    </row>
    <row r="733">
      <c r="A733" s="11"/>
      <c r="B733" s="11"/>
      <c r="C733" s="11"/>
      <c r="D733" s="24"/>
      <c r="E733" s="25"/>
      <c r="F733" s="25"/>
      <c r="G733" s="26"/>
      <c r="H733" s="25"/>
      <c r="I733" s="15"/>
    </row>
    <row r="734">
      <c r="A734" s="6"/>
      <c r="B734" s="6"/>
      <c r="C734" s="6"/>
      <c r="D734" s="21"/>
      <c r="E734" s="22"/>
      <c r="F734" s="22"/>
      <c r="G734" s="23"/>
      <c r="H734" s="22"/>
      <c r="I734" s="10"/>
    </row>
    <row r="735">
      <c r="A735" s="11"/>
      <c r="B735" s="11"/>
      <c r="C735" s="11"/>
      <c r="D735" s="24"/>
      <c r="E735" s="25"/>
      <c r="F735" s="25"/>
      <c r="G735" s="26"/>
      <c r="H735" s="25"/>
      <c r="I735" s="15"/>
    </row>
    <row r="736">
      <c r="A736" s="6"/>
      <c r="B736" s="6"/>
      <c r="C736" s="6"/>
      <c r="D736" s="21"/>
      <c r="E736" s="22"/>
      <c r="F736" s="22"/>
      <c r="G736" s="23"/>
      <c r="H736" s="22"/>
      <c r="I736" s="10"/>
    </row>
    <row r="737">
      <c r="A737" s="11"/>
      <c r="B737" s="11"/>
      <c r="C737" s="11"/>
      <c r="D737" s="24"/>
      <c r="E737" s="25"/>
      <c r="F737" s="25"/>
      <c r="G737" s="26"/>
      <c r="H737" s="25"/>
      <c r="I737" s="15"/>
    </row>
    <row r="738">
      <c r="A738" s="6"/>
      <c r="B738" s="6"/>
      <c r="C738" s="6"/>
      <c r="D738" s="21"/>
      <c r="E738" s="22"/>
      <c r="F738" s="22"/>
      <c r="G738" s="23"/>
      <c r="H738" s="22"/>
      <c r="I738" s="10"/>
    </row>
    <row r="739">
      <c r="A739" s="11"/>
      <c r="B739" s="11"/>
      <c r="C739" s="11"/>
      <c r="D739" s="24"/>
      <c r="E739" s="25"/>
      <c r="F739" s="25"/>
      <c r="G739" s="26"/>
      <c r="H739" s="25"/>
      <c r="I739" s="15"/>
    </row>
    <row r="740">
      <c r="A740" s="6"/>
      <c r="B740" s="6"/>
      <c r="C740" s="6"/>
      <c r="D740" s="21"/>
      <c r="E740" s="22"/>
      <c r="F740" s="22"/>
      <c r="G740" s="23"/>
      <c r="H740" s="22"/>
      <c r="I740" s="10"/>
    </row>
    <row r="741">
      <c r="A741" s="11"/>
      <c r="B741" s="11"/>
      <c r="C741" s="11"/>
      <c r="D741" s="24"/>
      <c r="E741" s="25"/>
      <c r="F741" s="25"/>
      <c r="G741" s="26"/>
      <c r="H741" s="25"/>
      <c r="I741" s="15"/>
    </row>
    <row r="742">
      <c r="A742" s="6"/>
      <c r="B742" s="6"/>
      <c r="C742" s="6"/>
      <c r="D742" s="21"/>
      <c r="E742" s="22"/>
      <c r="F742" s="22"/>
      <c r="G742" s="23"/>
      <c r="H742" s="22"/>
      <c r="I742" s="10"/>
    </row>
    <row r="743">
      <c r="A743" s="11"/>
      <c r="B743" s="11"/>
      <c r="C743" s="11"/>
      <c r="D743" s="24"/>
      <c r="E743" s="25"/>
      <c r="F743" s="25"/>
      <c r="G743" s="26"/>
      <c r="H743" s="25"/>
      <c r="I743" s="15"/>
    </row>
    <row r="744">
      <c r="A744" s="6"/>
      <c r="B744" s="6"/>
      <c r="C744" s="6"/>
      <c r="D744" s="21"/>
      <c r="E744" s="22"/>
      <c r="F744" s="22"/>
      <c r="G744" s="23"/>
      <c r="H744" s="22"/>
      <c r="I744" s="10"/>
    </row>
    <row r="745">
      <c r="A745" s="11"/>
      <c r="B745" s="11"/>
      <c r="C745" s="11"/>
      <c r="D745" s="24"/>
      <c r="E745" s="25"/>
      <c r="F745" s="25"/>
      <c r="G745" s="26"/>
      <c r="H745" s="25"/>
      <c r="I745" s="15"/>
    </row>
    <row r="746">
      <c r="A746" s="6"/>
      <c r="B746" s="6"/>
      <c r="C746" s="6"/>
      <c r="D746" s="21"/>
      <c r="E746" s="22"/>
      <c r="F746" s="22"/>
      <c r="G746" s="23"/>
      <c r="H746" s="22"/>
      <c r="I746" s="10"/>
    </row>
    <row r="747">
      <c r="A747" s="11"/>
      <c r="B747" s="11"/>
      <c r="C747" s="11"/>
      <c r="D747" s="24"/>
      <c r="E747" s="25"/>
      <c r="F747" s="25"/>
      <c r="G747" s="26"/>
      <c r="H747" s="25"/>
      <c r="I747" s="15"/>
    </row>
    <row r="748">
      <c r="A748" s="6"/>
      <c r="B748" s="6"/>
      <c r="C748" s="6"/>
      <c r="D748" s="21"/>
      <c r="E748" s="22"/>
      <c r="F748" s="22"/>
      <c r="G748" s="23"/>
      <c r="H748" s="22"/>
      <c r="I748" s="10"/>
    </row>
    <row r="749">
      <c r="A749" s="11"/>
      <c r="B749" s="11"/>
      <c r="C749" s="11"/>
      <c r="D749" s="24"/>
      <c r="E749" s="25"/>
      <c r="F749" s="25"/>
      <c r="G749" s="26"/>
      <c r="H749" s="25"/>
      <c r="I749" s="15"/>
    </row>
    <row r="750">
      <c r="A750" s="6"/>
      <c r="B750" s="6"/>
      <c r="C750" s="6"/>
      <c r="D750" s="21"/>
      <c r="E750" s="22"/>
      <c r="F750" s="22"/>
      <c r="G750" s="23"/>
      <c r="H750" s="22"/>
      <c r="I750" s="10"/>
    </row>
    <row r="751">
      <c r="A751" s="11"/>
      <c r="B751" s="11"/>
      <c r="C751" s="11"/>
      <c r="D751" s="24"/>
      <c r="E751" s="25"/>
      <c r="F751" s="25"/>
      <c r="G751" s="26"/>
      <c r="H751" s="25"/>
      <c r="I751" s="15"/>
    </row>
    <row r="752">
      <c r="A752" s="6"/>
      <c r="B752" s="6"/>
      <c r="C752" s="6"/>
      <c r="D752" s="21"/>
      <c r="E752" s="22"/>
      <c r="F752" s="22"/>
      <c r="G752" s="23"/>
      <c r="H752" s="22"/>
      <c r="I752" s="10"/>
    </row>
    <row r="753">
      <c r="A753" s="11"/>
      <c r="B753" s="11"/>
      <c r="C753" s="11"/>
      <c r="D753" s="24"/>
      <c r="E753" s="25"/>
      <c r="F753" s="25"/>
      <c r="G753" s="26"/>
      <c r="H753" s="25"/>
      <c r="I753" s="15"/>
    </row>
    <row r="754">
      <c r="A754" s="6"/>
      <c r="B754" s="6"/>
      <c r="C754" s="6"/>
      <c r="D754" s="21"/>
      <c r="E754" s="22"/>
      <c r="F754" s="22"/>
      <c r="G754" s="23"/>
      <c r="H754" s="22"/>
      <c r="I754" s="10"/>
    </row>
    <row r="755">
      <c r="A755" s="11"/>
      <c r="B755" s="11"/>
      <c r="C755" s="11"/>
      <c r="D755" s="24"/>
      <c r="E755" s="25"/>
      <c r="F755" s="25"/>
      <c r="G755" s="26"/>
      <c r="H755" s="25"/>
      <c r="I755" s="15"/>
    </row>
    <row r="756">
      <c r="A756" s="6"/>
      <c r="B756" s="6"/>
      <c r="C756" s="6"/>
      <c r="D756" s="21"/>
      <c r="E756" s="22"/>
      <c r="F756" s="22"/>
      <c r="G756" s="23"/>
      <c r="H756" s="22"/>
      <c r="I756" s="10"/>
    </row>
    <row r="757">
      <c r="A757" s="11"/>
      <c r="B757" s="11"/>
      <c r="C757" s="11"/>
      <c r="D757" s="24"/>
      <c r="E757" s="25"/>
      <c r="F757" s="25"/>
      <c r="G757" s="26"/>
      <c r="H757" s="25"/>
      <c r="I757" s="15"/>
    </row>
    <row r="758">
      <c r="A758" s="6"/>
      <c r="B758" s="6"/>
      <c r="C758" s="6"/>
      <c r="D758" s="21"/>
      <c r="E758" s="22"/>
      <c r="F758" s="22"/>
      <c r="G758" s="23"/>
      <c r="H758" s="22"/>
      <c r="I758" s="10"/>
    </row>
    <row r="759">
      <c r="A759" s="11"/>
      <c r="B759" s="11"/>
      <c r="C759" s="11"/>
      <c r="D759" s="24"/>
      <c r="E759" s="25"/>
      <c r="F759" s="25"/>
      <c r="G759" s="26"/>
      <c r="H759" s="25"/>
      <c r="I759" s="15"/>
    </row>
    <row r="760">
      <c r="A760" s="6"/>
      <c r="B760" s="6"/>
      <c r="C760" s="6"/>
      <c r="D760" s="21"/>
      <c r="E760" s="22"/>
      <c r="F760" s="22"/>
      <c r="G760" s="23"/>
      <c r="H760" s="22"/>
      <c r="I760" s="10"/>
    </row>
    <row r="761">
      <c r="A761" s="11"/>
      <c r="B761" s="11"/>
      <c r="C761" s="11"/>
      <c r="D761" s="24"/>
      <c r="E761" s="25"/>
      <c r="F761" s="25"/>
      <c r="G761" s="26"/>
      <c r="H761" s="25"/>
      <c r="I761" s="15"/>
    </row>
    <row r="762">
      <c r="A762" s="6"/>
      <c r="B762" s="6"/>
      <c r="C762" s="6"/>
      <c r="D762" s="21"/>
      <c r="E762" s="22"/>
      <c r="F762" s="22"/>
      <c r="G762" s="23"/>
      <c r="H762" s="22"/>
      <c r="I762" s="10"/>
    </row>
    <row r="763">
      <c r="A763" s="11"/>
      <c r="B763" s="11"/>
      <c r="C763" s="11"/>
      <c r="D763" s="24"/>
      <c r="E763" s="25"/>
      <c r="F763" s="25"/>
      <c r="G763" s="26"/>
      <c r="H763" s="25"/>
      <c r="I763" s="15"/>
    </row>
    <row r="764">
      <c r="A764" s="6"/>
      <c r="B764" s="6"/>
      <c r="C764" s="6"/>
      <c r="D764" s="21"/>
      <c r="E764" s="22"/>
      <c r="F764" s="22"/>
      <c r="G764" s="23"/>
      <c r="H764" s="22"/>
      <c r="I764" s="10"/>
    </row>
    <row r="765">
      <c r="A765" s="11"/>
      <c r="B765" s="11"/>
      <c r="C765" s="11"/>
      <c r="D765" s="24"/>
      <c r="E765" s="25"/>
      <c r="F765" s="25"/>
      <c r="G765" s="26"/>
      <c r="H765" s="25"/>
      <c r="I765" s="15"/>
    </row>
    <row r="766">
      <c r="A766" s="6"/>
      <c r="B766" s="6"/>
      <c r="C766" s="6"/>
      <c r="D766" s="21"/>
      <c r="E766" s="22"/>
      <c r="F766" s="22"/>
      <c r="G766" s="23"/>
      <c r="H766" s="22"/>
      <c r="I766" s="10"/>
    </row>
    <row r="767">
      <c r="A767" s="11"/>
      <c r="B767" s="11"/>
      <c r="C767" s="11"/>
      <c r="D767" s="24"/>
      <c r="E767" s="25"/>
      <c r="F767" s="25"/>
      <c r="G767" s="26"/>
      <c r="H767" s="25"/>
      <c r="I767" s="15"/>
    </row>
    <row r="768">
      <c r="A768" s="6"/>
      <c r="B768" s="6"/>
      <c r="C768" s="6"/>
      <c r="D768" s="21"/>
      <c r="E768" s="22"/>
      <c r="F768" s="22"/>
      <c r="G768" s="23"/>
      <c r="H768" s="22"/>
      <c r="I768" s="10"/>
    </row>
    <row r="769">
      <c r="A769" s="11"/>
      <c r="B769" s="11"/>
      <c r="C769" s="11"/>
      <c r="D769" s="24"/>
      <c r="E769" s="25"/>
      <c r="F769" s="25"/>
      <c r="G769" s="26"/>
      <c r="H769" s="25"/>
      <c r="I769" s="15"/>
    </row>
    <row r="770">
      <c r="A770" s="6"/>
      <c r="B770" s="6"/>
      <c r="C770" s="6"/>
      <c r="D770" s="21"/>
      <c r="E770" s="22"/>
      <c r="F770" s="22"/>
      <c r="G770" s="23"/>
      <c r="H770" s="22"/>
      <c r="I770" s="10"/>
    </row>
    <row r="771">
      <c r="A771" s="11"/>
      <c r="B771" s="11"/>
      <c r="C771" s="11"/>
      <c r="D771" s="24"/>
      <c r="E771" s="25"/>
      <c r="F771" s="25"/>
      <c r="G771" s="26"/>
      <c r="H771" s="25"/>
      <c r="I771" s="15"/>
    </row>
    <row r="772">
      <c r="A772" s="6"/>
      <c r="B772" s="6"/>
      <c r="C772" s="6"/>
      <c r="D772" s="21"/>
      <c r="E772" s="22"/>
      <c r="F772" s="22"/>
      <c r="G772" s="23"/>
      <c r="H772" s="22"/>
      <c r="I772" s="10"/>
    </row>
    <row r="773">
      <c r="A773" s="11"/>
      <c r="B773" s="11"/>
      <c r="C773" s="11"/>
      <c r="D773" s="24"/>
      <c r="E773" s="25"/>
      <c r="F773" s="25"/>
      <c r="G773" s="26"/>
      <c r="H773" s="25"/>
      <c r="I773" s="15"/>
    </row>
    <row r="774">
      <c r="A774" s="6"/>
      <c r="B774" s="6"/>
      <c r="C774" s="6"/>
      <c r="D774" s="21"/>
      <c r="E774" s="22"/>
      <c r="F774" s="22"/>
      <c r="G774" s="23"/>
      <c r="H774" s="22"/>
      <c r="I774" s="10"/>
    </row>
    <row r="775">
      <c r="A775" s="11"/>
      <c r="B775" s="11"/>
      <c r="C775" s="11"/>
      <c r="D775" s="24"/>
      <c r="E775" s="25"/>
      <c r="F775" s="25"/>
      <c r="G775" s="26"/>
      <c r="H775" s="25"/>
      <c r="I775" s="15"/>
    </row>
    <row r="776">
      <c r="A776" s="6"/>
      <c r="B776" s="6"/>
      <c r="C776" s="6"/>
      <c r="D776" s="21"/>
      <c r="E776" s="22"/>
      <c r="F776" s="22"/>
      <c r="G776" s="23"/>
      <c r="H776" s="22"/>
      <c r="I776" s="10"/>
    </row>
    <row r="777">
      <c r="A777" s="11"/>
      <c r="B777" s="11"/>
      <c r="C777" s="11"/>
      <c r="D777" s="24"/>
      <c r="E777" s="25"/>
      <c r="F777" s="25"/>
      <c r="G777" s="26"/>
      <c r="H777" s="25"/>
      <c r="I777" s="15"/>
    </row>
    <row r="778">
      <c r="A778" s="6"/>
      <c r="B778" s="6"/>
      <c r="C778" s="6"/>
      <c r="D778" s="21"/>
      <c r="E778" s="22"/>
      <c r="F778" s="22"/>
      <c r="G778" s="23"/>
      <c r="H778" s="22"/>
      <c r="I778" s="10"/>
    </row>
    <row r="779">
      <c r="A779" s="11"/>
      <c r="B779" s="11"/>
      <c r="C779" s="11"/>
      <c r="D779" s="24"/>
      <c r="E779" s="25"/>
      <c r="F779" s="25"/>
      <c r="G779" s="26"/>
      <c r="H779" s="25"/>
      <c r="I779" s="15"/>
    </row>
    <row r="780">
      <c r="A780" s="6"/>
      <c r="B780" s="6"/>
      <c r="C780" s="6"/>
      <c r="D780" s="21"/>
      <c r="E780" s="22"/>
      <c r="F780" s="22"/>
      <c r="G780" s="23"/>
      <c r="H780" s="22"/>
      <c r="I780" s="10"/>
    </row>
    <row r="781">
      <c r="A781" s="11"/>
      <c r="B781" s="11"/>
      <c r="C781" s="11"/>
      <c r="D781" s="24"/>
      <c r="E781" s="25"/>
      <c r="F781" s="25"/>
      <c r="G781" s="26"/>
      <c r="H781" s="25"/>
      <c r="I781" s="15"/>
    </row>
    <row r="782">
      <c r="A782" s="6"/>
      <c r="B782" s="6"/>
      <c r="C782" s="6"/>
      <c r="D782" s="21"/>
      <c r="E782" s="22"/>
      <c r="F782" s="22"/>
      <c r="G782" s="23"/>
      <c r="H782" s="22"/>
      <c r="I782" s="10"/>
    </row>
    <row r="783">
      <c r="A783" s="11"/>
      <c r="B783" s="11"/>
      <c r="C783" s="11"/>
      <c r="D783" s="24"/>
      <c r="E783" s="25"/>
      <c r="F783" s="25"/>
      <c r="G783" s="26"/>
      <c r="H783" s="25"/>
      <c r="I783" s="15"/>
    </row>
    <row r="784">
      <c r="A784" s="6"/>
      <c r="B784" s="6"/>
      <c r="C784" s="6"/>
      <c r="D784" s="21"/>
      <c r="E784" s="22"/>
      <c r="F784" s="22"/>
      <c r="G784" s="23"/>
      <c r="H784" s="22"/>
      <c r="I784" s="10"/>
    </row>
    <row r="785">
      <c r="A785" s="11"/>
      <c r="B785" s="11"/>
      <c r="C785" s="11"/>
      <c r="D785" s="24"/>
      <c r="E785" s="25"/>
      <c r="F785" s="25"/>
      <c r="G785" s="26"/>
      <c r="H785" s="25"/>
      <c r="I785" s="15"/>
    </row>
    <row r="786">
      <c r="A786" s="6"/>
      <c r="B786" s="6"/>
      <c r="C786" s="6"/>
      <c r="D786" s="21"/>
      <c r="E786" s="22"/>
      <c r="F786" s="22"/>
      <c r="G786" s="23"/>
      <c r="H786" s="22"/>
      <c r="I786" s="10"/>
    </row>
    <row r="787">
      <c r="A787" s="11"/>
      <c r="B787" s="11"/>
      <c r="C787" s="11"/>
      <c r="D787" s="24"/>
      <c r="E787" s="25"/>
      <c r="F787" s="25"/>
      <c r="G787" s="26"/>
      <c r="H787" s="25"/>
      <c r="I787" s="15"/>
    </row>
    <row r="788">
      <c r="A788" s="6"/>
      <c r="B788" s="6"/>
      <c r="C788" s="6"/>
      <c r="D788" s="21"/>
      <c r="E788" s="22"/>
      <c r="F788" s="22"/>
      <c r="G788" s="23"/>
      <c r="H788" s="22"/>
      <c r="I788" s="10"/>
    </row>
    <row r="789">
      <c r="A789" s="11"/>
      <c r="B789" s="11"/>
      <c r="C789" s="11"/>
      <c r="D789" s="24"/>
      <c r="E789" s="25"/>
      <c r="F789" s="25"/>
      <c r="G789" s="26"/>
      <c r="H789" s="25"/>
      <c r="I789" s="15"/>
    </row>
    <row r="790">
      <c r="A790" s="6"/>
      <c r="B790" s="6"/>
      <c r="C790" s="6"/>
      <c r="D790" s="21"/>
      <c r="E790" s="22"/>
      <c r="F790" s="22"/>
      <c r="G790" s="23"/>
      <c r="H790" s="22"/>
      <c r="I790" s="10"/>
    </row>
    <row r="791">
      <c r="A791" s="11"/>
      <c r="B791" s="11"/>
      <c r="C791" s="11"/>
      <c r="D791" s="24"/>
      <c r="E791" s="25"/>
      <c r="F791" s="25"/>
      <c r="G791" s="26"/>
      <c r="H791" s="25"/>
      <c r="I791" s="15"/>
    </row>
    <row r="792">
      <c r="A792" s="6"/>
      <c r="B792" s="6"/>
      <c r="C792" s="6"/>
      <c r="D792" s="21"/>
      <c r="E792" s="22"/>
      <c r="F792" s="22"/>
      <c r="G792" s="23"/>
      <c r="H792" s="22"/>
      <c r="I792" s="10"/>
    </row>
    <row r="793">
      <c r="A793" s="11"/>
      <c r="B793" s="11"/>
      <c r="C793" s="11"/>
      <c r="D793" s="24"/>
      <c r="E793" s="25"/>
      <c r="F793" s="25"/>
      <c r="G793" s="26"/>
      <c r="H793" s="25"/>
      <c r="I793" s="15"/>
    </row>
    <row r="794">
      <c r="A794" s="6"/>
      <c r="B794" s="6"/>
      <c r="C794" s="6"/>
      <c r="D794" s="21"/>
      <c r="E794" s="22"/>
      <c r="F794" s="22"/>
      <c r="G794" s="23"/>
      <c r="H794" s="22"/>
      <c r="I794" s="10"/>
    </row>
    <row r="795">
      <c r="A795" s="11"/>
      <c r="B795" s="11"/>
      <c r="C795" s="11"/>
      <c r="D795" s="24"/>
      <c r="E795" s="25"/>
      <c r="F795" s="25"/>
      <c r="G795" s="26"/>
      <c r="H795" s="25"/>
      <c r="I795" s="15"/>
    </row>
    <row r="796">
      <c r="A796" s="6"/>
      <c r="B796" s="6"/>
      <c r="C796" s="6"/>
      <c r="D796" s="21"/>
      <c r="E796" s="22"/>
      <c r="F796" s="22"/>
      <c r="G796" s="23"/>
      <c r="H796" s="22"/>
      <c r="I796" s="10"/>
    </row>
    <row r="797">
      <c r="A797" s="11"/>
      <c r="B797" s="11"/>
      <c r="C797" s="11"/>
      <c r="D797" s="24"/>
      <c r="E797" s="25"/>
      <c r="F797" s="25"/>
      <c r="G797" s="26"/>
      <c r="H797" s="25"/>
      <c r="I797" s="15"/>
    </row>
    <row r="798">
      <c r="A798" s="6"/>
      <c r="B798" s="6"/>
      <c r="C798" s="6"/>
      <c r="D798" s="21"/>
      <c r="E798" s="22"/>
      <c r="F798" s="22"/>
      <c r="G798" s="23"/>
      <c r="H798" s="22"/>
      <c r="I798" s="10"/>
    </row>
    <row r="799">
      <c r="A799" s="11"/>
      <c r="B799" s="11"/>
      <c r="C799" s="11"/>
      <c r="D799" s="24"/>
      <c r="E799" s="25"/>
      <c r="F799" s="25"/>
      <c r="G799" s="26"/>
      <c r="H799" s="25"/>
      <c r="I799" s="15"/>
    </row>
    <row r="800">
      <c r="A800" s="6"/>
      <c r="B800" s="6"/>
      <c r="C800" s="6"/>
      <c r="D800" s="21"/>
      <c r="E800" s="22"/>
      <c r="F800" s="22"/>
      <c r="G800" s="23"/>
      <c r="H800" s="22"/>
      <c r="I800" s="10"/>
    </row>
    <row r="801">
      <c r="A801" s="11"/>
      <c r="B801" s="11"/>
      <c r="C801" s="11"/>
      <c r="D801" s="24"/>
      <c r="E801" s="25"/>
      <c r="F801" s="25"/>
      <c r="G801" s="26"/>
      <c r="H801" s="25"/>
      <c r="I801" s="15"/>
    </row>
    <row r="802">
      <c r="A802" s="6"/>
      <c r="B802" s="6"/>
      <c r="C802" s="6"/>
      <c r="D802" s="21"/>
      <c r="E802" s="22"/>
      <c r="F802" s="22"/>
      <c r="G802" s="23"/>
      <c r="H802" s="22"/>
      <c r="I802" s="10"/>
    </row>
    <row r="803">
      <c r="A803" s="11"/>
      <c r="B803" s="11"/>
      <c r="C803" s="11"/>
      <c r="D803" s="24"/>
      <c r="E803" s="25"/>
      <c r="F803" s="25"/>
      <c r="G803" s="26"/>
      <c r="H803" s="25"/>
      <c r="I803" s="15"/>
    </row>
    <row r="804">
      <c r="A804" s="6"/>
      <c r="B804" s="6"/>
      <c r="C804" s="6"/>
      <c r="D804" s="21"/>
      <c r="E804" s="22"/>
      <c r="F804" s="22"/>
      <c r="G804" s="23"/>
      <c r="H804" s="22"/>
      <c r="I804" s="10"/>
    </row>
    <row r="805">
      <c r="A805" s="11"/>
      <c r="B805" s="11"/>
      <c r="C805" s="11"/>
      <c r="D805" s="24"/>
      <c r="E805" s="25"/>
      <c r="F805" s="25"/>
      <c r="G805" s="26"/>
      <c r="H805" s="25"/>
      <c r="I805" s="15"/>
    </row>
    <row r="806">
      <c r="A806" s="6"/>
      <c r="B806" s="6"/>
      <c r="C806" s="6"/>
      <c r="D806" s="21"/>
      <c r="E806" s="22"/>
      <c r="F806" s="22"/>
      <c r="G806" s="23"/>
      <c r="H806" s="22"/>
      <c r="I806" s="10"/>
    </row>
    <row r="807">
      <c r="A807" s="11"/>
      <c r="B807" s="11"/>
      <c r="C807" s="11"/>
      <c r="D807" s="24"/>
      <c r="E807" s="25"/>
      <c r="F807" s="25"/>
      <c r="G807" s="26"/>
      <c r="H807" s="25"/>
      <c r="I807" s="15"/>
    </row>
    <row r="808">
      <c r="A808" s="6"/>
      <c r="B808" s="6"/>
      <c r="C808" s="6"/>
      <c r="D808" s="21"/>
      <c r="E808" s="22"/>
      <c r="F808" s="22"/>
      <c r="G808" s="23"/>
      <c r="H808" s="22"/>
      <c r="I808" s="10"/>
    </row>
    <row r="809">
      <c r="A809" s="11"/>
      <c r="B809" s="11"/>
      <c r="C809" s="11"/>
      <c r="D809" s="24"/>
      <c r="E809" s="25"/>
      <c r="F809" s="25"/>
      <c r="G809" s="26"/>
      <c r="H809" s="25"/>
      <c r="I809" s="15"/>
    </row>
    <row r="810">
      <c r="A810" s="6"/>
      <c r="B810" s="6"/>
      <c r="C810" s="6"/>
      <c r="D810" s="21"/>
      <c r="E810" s="22"/>
      <c r="F810" s="22"/>
      <c r="G810" s="23"/>
      <c r="H810" s="22"/>
      <c r="I810" s="10"/>
    </row>
    <row r="811">
      <c r="A811" s="11"/>
      <c r="B811" s="11"/>
      <c r="C811" s="11"/>
      <c r="D811" s="24"/>
      <c r="E811" s="25"/>
      <c r="F811" s="25"/>
      <c r="G811" s="26"/>
      <c r="H811" s="25"/>
      <c r="I811" s="15"/>
    </row>
    <row r="812">
      <c r="A812" s="6"/>
      <c r="B812" s="6"/>
      <c r="C812" s="6"/>
      <c r="D812" s="21"/>
      <c r="E812" s="22"/>
      <c r="F812" s="22"/>
      <c r="G812" s="23"/>
      <c r="H812" s="22"/>
      <c r="I812" s="10"/>
    </row>
    <row r="813">
      <c r="A813" s="11"/>
      <c r="B813" s="11"/>
      <c r="C813" s="11"/>
      <c r="D813" s="24"/>
      <c r="E813" s="25"/>
      <c r="F813" s="25"/>
      <c r="G813" s="26"/>
      <c r="H813" s="25"/>
      <c r="I813" s="15"/>
    </row>
    <row r="814">
      <c r="A814" s="6"/>
      <c r="B814" s="6"/>
      <c r="C814" s="6"/>
      <c r="D814" s="21"/>
      <c r="E814" s="22"/>
      <c r="F814" s="22"/>
      <c r="G814" s="23"/>
      <c r="H814" s="22"/>
      <c r="I814" s="10"/>
    </row>
    <row r="815">
      <c r="A815" s="11"/>
      <c r="B815" s="11"/>
      <c r="C815" s="11"/>
      <c r="D815" s="24"/>
      <c r="E815" s="25"/>
      <c r="F815" s="25"/>
      <c r="G815" s="26"/>
      <c r="H815" s="25"/>
      <c r="I815" s="15"/>
    </row>
    <row r="816">
      <c r="A816" s="6"/>
      <c r="B816" s="6"/>
      <c r="C816" s="6"/>
      <c r="D816" s="21"/>
      <c r="E816" s="22"/>
      <c r="F816" s="22"/>
      <c r="G816" s="23"/>
      <c r="H816" s="22"/>
      <c r="I816" s="10"/>
    </row>
    <row r="817">
      <c r="A817" s="11"/>
      <c r="B817" s="11"/>
      <c r="C817" s="11"/>
      <c r="D817" s="24"/>
      <c r="E817" s="25"/>
      <c r="F817" s="25"/>
      <c r="G817" s="26"/>
      <c r="H817" s="25"/>
      <c r="I817" s="15"/>
    </row>
    <row r="818">
      <c r="A818" s="6"/>
      <c r="B818" s="6"/>
      <c r="C818" s="6"/>
      <c r="D818" s="21"/>
      <c r="E818" s="22"/>
      <c r="F818" s="22"/>
      <c r="G818" s="23"/>
      <c r="H818" s="22"/>
      <c r="I818" s="10"/>
    </row>
    <row r="819">
      <c r="A819" s="11"/>
      <c r="B819" s="11"/>
      <c r="C819" s="11"/>
      <c r="D819" s="24"/>
      <c r="E819" s="25"/>
      <c r="F819" s="25"/>
      <c r="G819" s="26"/>
      <c r="H819" s="25"/>
      <c r="I819" s="15"/>
    </row>
    <row r="820">
      <c r="A820" s="6"/>
      <c r="B820" s="6"/>
      <c r="C820" s="6"/>
      <c r="D820" s="21"/>
      <c r="E820" s="22"/>
      <c r="F820" s="22"/>
      <c r="G820" s="23"/>
      <c r="H820" s="22"/>
      <c r="I820" s="10"/>
    </row>
    <row r="821">
      <c r="A821" s="11"/>
      <c r="B821" s="11"/>
      <c r="C821" s="11"/>
      <c r="D821" s="24"/>
      <c r="E821" s="25"/>
      <c r="F821" s="25"/>
      <c r="G821" s="26"/>
      <c r="H821" s="25"/>
      <c r="I821" s="15"/>
    </row>
    <row r="822">
      <c r="A822" s="6"/>
      <c r="B822" s="6"/>
      <c r="C822" s="6"/>
      <c r="D822" s="21"/>
      <c r="E822" s="22"/>
      <c r="F822" s="22"/>
      <c r="G822" s="23"/>
      <c r="H822" s="22"/>
      <c r="I822" s="10"/>
    </row>
    <row r="823">
      <c r="A823" s="11"/>
      <c r="B823" s="11"/>
      <c r="C823" s="11"/>
      <c r="D823" s="24"/>
      <c r="E823" s="25"/>
      <c r="F823" s="25"/>
      <c r="G823" s="26"/>
      <c r="H823" s="25"/>
      <c r="I823" s="15"/>
    </row>
    <row r="824">
      <c r="A824" s="6"/>
      <c r="B824" s="6"/>
      <c r="C824" s="6"/>
      <c r="D824" s="21"/>
      <c r="E824" s="22"/>
      <c r="F824" s="22"/>
      <c r="G824" s="23"/>
      <c r="H824" s="22"/>
      <c r="I824" s="10"/>
    </row>
    <row r="825">
      <c r="A825" s="11"/>
      <c r="B825" s="11"/>
      <c r="C825" s="11"/>
      <c r="D825" s="24"/>
      <c r="E825" s="25"/>
      <c r="F825" s="25"/>
      <c r="G825" s="26"/>
      <c r="H825" s="25"/>
      <c r="I825" s="15"/>
    </row>
    <row r="826">
      <c r="A826" s="6"/>
      <c r="B826" s="6"/>
      <c r="C826" s="6"/>
      <c r="D826" s="21"/>
      <c r="E826" s="22"/>
      <c r="F826" s="22"/>
      <c r="G826" s="23"/>
      <c r="H826" s="22"/>
      <c r="I826" s="10"/>
    </row>
    <row r="827">
      <c r="A827" s="11"/>
      <c r="B827" s="11"/>
      <c r="C827" s="11"/>
      <c r="D827" s="24"/>
      <c r="E827" s="25"/>
      <c r="F827" s="25"/>
      <c r="G827" s="26"/>
      <c r="H827" s="25"/>
      <c r="I827" s="15"/>
    </row>
    <row r="828">
      <c r="A828" s="6"/>
      <c r="B828" s="6"/>
      <c r="C828" s="6"/>
      <c r="D828" s="21"/>
      <c r="E828" s="22"/>
      <c r="F828" s="22"/>
      <c r="G828" s="23"/>
      <c r="H828" s="22"/>
      <c r="I828" s="10"/>
    </row>
    <row r="829">
      <c r="A829" s="11"/>
      <c r="B829" s="11"/>
      <c r="C829" s="11"/>
      <c r="D829" s="24"/>
      <c r="E829" s="25"/>
      <c r="F829" s="25"/>
      <c r="G829" s="26"/>
      <c r="H829" s="25"/>
      <c r="I829" s="15"/>
    </row>
    <row r="830">
      <c r="A830" s="6"/>
      <c r="B830" s="6"/>
      <c r="C830" s="6"/>
      <c r="D830" s="21"/>
      <c r="E830" s="22"/>
      <c r="F830" s="22"/>
      <c r="G830" s="23"/>
      <c r="H830" s="22"/>
      <c r="I830" s="10"/>
    </row>
    <row r="831">
      <c r="A831" s="11"/>
      <c r="B831" s="11"/>
      <c r="C831" s="11"/>
      <c r="D831" s="24"/>
      <c r="E831" s="25"/>
      <c r="F831" s="25"/>
      <c r="G831" s="26"/>
      <c r="H831" s="25"/>
      <c r="I831" s="15"/>
    </row>
    <row r="832">
      <c r="A832" s="6"/>
      <c r="B832" s="6"/>
      <c r="C832" s="6"/>
      <c r="D832" s="21"/>
      <c r="E832" s="22"/>
      <c r="F832" s="22"/>
      <c r="G832" s="23"/>
      <c r="H832" s="22"/>
      <c r="I832" s="10"/>
    </row>
    <row r="833">
      <c r="A833" s="11"/>
      <c r="B833" s="11"/>
      <c r="C833" s="11"/>
      <c r="D833" s="24"/>
      <c r="E833" s="25"/>
      <c r="F833" s="25"/>
      <c r="G833" s="26"/>
      <c r="H833" s="25"/>
      <c r="I833" s="15"/>
    </row>
    <row r="834">
      <c r="A834" s="6"/>
      <c r="B834" s="6"/>
      <c r="C834" s="6"/>
      <c r="D834" s="21"/>
      <c r="E834" s="22"/>
      <c r="F834" s="22"/>
      <c r="G834" s="23"/>
      <c r="H834" s="22"/>
      <c r="I834" s="10"/>
    </row>
    <row r="835">
      <c r="A835" s="11"/>
      <c r="B835" s="11"/>
      <c r="C835" s="11"/>
      <c r="D835" s="24"/>
      <c r="E835" s="25"/>
      <c r="F835" s="25"/>
      <c r="G835" s="26"/>
      <c r="H835" s="25"/>
      <c r="I835" s="15"/>
    </row>
    <row r="836">
      <c r="A836" s="6"/>
      <c r="B836" s="6"/>
      <c r="C836" s="6"/>
      <c r="D836" s="21"/>
      <c r="E836" s="22"/>
      <c r="F836" s="22"/>
      <c r="G836" s="23"/>
      <c r="H836" s="22"/>
      <c r="I836" s="10"/>
    </row>
    <row r="837">
      <c r="A837" s="11"/>
      <c r="B837" s="11"/>
      <c r="C837" s="11"/>
      <c r="D837" s="24"/>
      <c r="E837" s="25"/>
      <c r="F837" s="25"/>
      <c r="G837" s="26"/>
      <c r="H837" s="25"/>
      <c r="I837" s="15"/>
    </row>
    <row r="838">
      <c r="A838" s="6"/>
      <c r="B838" s="6"/>
      <c r="C838" s="6"/>
      <c r="D838" s="21"/>
      <c r="E838" s="22"/>
      <c r="F838" s="22"/>
      <c r="G838" s="23"/>
      <c r="H838" s="22"/>
      <c r="I838" s="10"/>
    </row>
    <row r="839">
      <c r="A839" s="11"/>
      <c r="B839" s="11"/>
      <c r="C839" s="11"/>
      <c r="D839" s="24"/>
      <c r="E839" s="25"/>
      <c r="F839" s="25"/>
      <c r="G839" s="26"/>
      <c r="H839" s="25"/>
      <c r="I839" s="15"/>
    </row>
    <row r="840">
      <c r="A840" s="6"/>
      <c r="B840" s="6"/>
      <c r="C840" s="6"/>
      <c r="D840" s="21"/>
      <c r="E840" s="22"/>
      <c r="F840" s="22"/>
      <c r="G840" s="23"/>
      <c r="H840" s="22"/>
      <c r="I840" s="10"/>
    </row>
    <row r="841">
      <c r="A841" s="11"/>
      <c r="B841" s="11"/>
      <c r="C841" s="11"/>
      <c r="D841" s="24"/>
      <c r="E841" s="25"/>
      <c r="F841" s="25"/>
      <c r="G841" s="26"/>
      <c r="H841" s="25"/>
      <c r="I841" s="15"/>
    </row>
    <row r="842">
      <c r="A842" s="6"/>
      <c r="B842" s="6"/>
      <c r="C842" s="6"/>
      <c r="D842" s="21"/>
      <c r="E842" s="22"/>
      <c r="F842" s="22"/>
      <c r="G842" s="23"/>
      <c r="H842" s="22"/>
      <c r="I842" s="10"/>
    </row>
    <row r="843">
      <c r="A843" s="11"/>
      <c r="B843" s="11"/>
      <c r="C843" s="11"/>
      <c r="D843" s="24"/>
      <c r="E843" s="25"/>
      <c r="F843" s="25"/>
      <c r="G843" s="26"/>
      <c r="H843" s="25"/>
      <c r="I843" s="15"/>
    </row>
    <row r="844">
      <c r="A844" s="6"/>
      <c r="B844" s="6"/>
      <c r="C844" s="6"/>
      <c r="D844" s="21"/>
      <c r="E844" s="22"/>
      <c r="F844" s="22"/>
      <c r="G844" s="23"/>
      <c r="H844" s="22"/>
      <c r="I844" s="10"/>
    </row>
    <row r="845">
      <c r="A845" s="11"/>
      <c r="B845" s="11"/>
      <c r="C845" s="11"/>
      <c r="D845" s="24"/>
      <c r="E845" s="25"/>
      <c r="F845" s="25"/>
      <c r="G845" s="26"/>
      <c r="H845" s="25"/>
      <c r="I845" s="15"/>
    </row>
    <row r="846">
      <c r="A846" s="6"/>
      <c r="B846" s="6"/>
      <c r="C846" s="6"/>
      <c r="D846" s="21"/>
      <c r="E846" s="22"/>
      <c r="F846" s="22"/>
      <c r="G846" s="23"/>
      <c r="H846" s="22"/>
      <c r="I846" s="10"/>
    </row>
    <row r="847">
      <c r="A847" s="11"/>
      <c r="B847" s="11"/>
      <c r="C847" s="11"/>
      <c r="D847" s="24"/>
      <c r="E847" s="25"/>
      <c r="F847" s="25"/>
      <c r="G847" s="26"/>
      <c r="H847" s="25"/>
      <c r="I847" s="15"/>
    </row>
    <row r="848">
      <c r="A848" s="6"/>
      <c r="B848" s="6"/>
      <c r="C848" s="6"/>
      <c r="D848" s="21"/>
      <c r="E848" s="22"/>
      <c r="F848" s="22"/>
      <c r="G848" s="23"/>
      <c r="H848" s="22"/>
      <c r="I848" s="10"/>
    </row>
    <row r="849">
      <c r="A849" s="11"/>
      <c r="B849" s="11"/>
      <c r="C849" s="11"/>
      <c r="D849" s="24"/>
      <c r="E849" s="25"/>
      <c r="F849" s="25"/>
      <c r="G849" s="26"/>
      <c r="H849" s="25"/>
      <c r="I849" s="15"/>
    </row>
    <row r="850">
      <c r="A850" s="6"/>
      <c r="B850" s="6"/>
      <c r="C850" s="6"/>
      <c r="D850" s="21"/>
      <c r="E850" s="22"/>
      <c r="F850" s="22"/>
      <c r="G850" s="23"/>
      <c r="H850" s="22"/>
      <c r="I850" s="10"/>
    </row>
    <row r="851">
      <c r="A851" s="11"/>
      <c r="B851" s="11"/>
      <c r="C851" s="11"/>
      <c r="D851" s="24"/>
      <c r="E851" s="25"/>
      <c r="F851" s="25"/>
      <c r="G851" s="26"/>
      <c r="H851" s="25"/>
      <c r="I851" s="15"/>
    </row>
    <row r="852">
      <c r="A852" s="6"/>
      <c r="B852" s="6"/>
      <c r="C852" s="6"/>
      <c r="D852" s="21"/>
      <c r="E852" s="22"/>
      <c r="F852" s="22"/>
      <c r="G852" s="23"/>
      <c r="H852" s="22"/>
      <c r="I852" s="10"/>
    </row>
    <row r="853">
      <c r="A853" s="11"/>
      <c r="B853" s="11"/>
      <c r="C853" s="11"/>
      <c r="D853" s="24"/>
      <c r="E853" s="25"/>
      <c r="F853" s="25"/>
      <c r="G853" s="26"/>
      <c r="H853" s="25"/>
      <c r="I853" s="15"/>
    </row>
    <row r="854">
      <c r="A854" s="6"/>
      <c r="B854" s="6"/>
      <c r="C854" s="6"/>
      <c r="D854" s="21"/>
      <c r="E854" s="22"/>
      <c r="F854" s="22"/>
      <c r="G854" s="23"/>
      <c r="H854" s="22"/>
      <c r="I854" s="10"/>
    </row>
    <row r="855">
      <c r="A855" s="11"/>
      <c r="B855" s="11"/>
      <c r="C855" s="11"/>
      <c r="D855" s="24"/>
      <c r="E855" s="25"/>
      <c r="F855" s="25"/>
      <c r="G855" s="26"/>
      <c r="H855" s="25"/>
      <c r="I855" s="15"/>
    </row>
    <row r="856">
      <c r="A856" s="6"/>
      <c r="B856" s="6"/>
      <c r="C856" s="6"/>
      <c r="D856" s="21"/>
      <c r="E856" s="22"/>
      <c r="F856" s="22"/>
      <c r="G856" s="23"/>
      <c r="H856" s="22"/>
      <c r="I856" s="10"/>
    </row>
    <row r="857">
      <c r="A857" s="11"/>
      <c r="B857" s="11"/>
      <c r="C857" s="11"/>
      <c r="D857" s="24"/>
      <c r="E857" s="25"/>
      <c r="F857" s="25"/>
      <c r="G857" s="26"/>
      <c r="H857" s="25"/>
      <c r="I857" s="15"/>
    </row>
    <row r="858">
      <c r="A858" s="6"/>
      <c r="B858" s="6"/>
      <c r="C858" s="6"/>
      <c r="D858" s="21"/>
      <c r="E858" s="22"/>
      <c r="F858" s="22"/>
      <c r="G858" s="23"/>
      <c r="H858" s="22"/>
      <c r="I858" s="10"/>
    </row>
    <row r="859">
      <c r="A859" s="11"/>
      <c r="B859" s="11"/>
      <c r="C859" s="11"/>
      <c r="D859" s="24"/>
      <c r="E859" s="25"/>
      <c r="F859" s="25"/>
      <c r="G859" s="26"/>
      <c r="H859" s="25"/>
      <c r="I859" s="15"/>
    </row>
    <row r="860">
      <c r="A860" s="6"/>
      <c r="B860" s="6"/>
      <c r="C860" s="6"/>
      <c r="D860" s="21"/>
      <c r="E860" s="22"/>
      <c r="F860" s="22"/>
      <c r="G860" s="23"/>
      <c r="H860" s="22"/>
      <c r="I860" s="10"/>
    </row>
    <row r="861">
      <c r="A861" s="11"/>
      <c r="B861" s="11"/>
      <c r="C861" s="11"/>
      <c r="D861" s="24"/>
      <c r="E861" s="25"/>
      <c r="F861" s="25"/>
      <c r="G861" s="26"/>
      <c r="H861" s="25"/>
      <c r="I861" s="15"/>
    </row>
    <row r="862">
      <c r="A862" s="6"/>
      <c r="B862" s="6"/>
      <c r="C862" s="6"/>
      <c r="D862" s="21"/>
      <c r="E862" s="22"/>
      <c r="F862" s="22"/>
      <c r="G862" s="23"/>
      <c r="H862" s="22"/>
      <c r="I862" s="10"/>
    </row>
    <row r="863">
      <c r="A863" s="11"/>
      <c r="B863" s="11"/>
      <c r="C863" s="11"/>
      <c r="D863" s="24"/>
      <c r="E863" s="25"/>
      <c r="F863" s="25"/>
      <c r="G863" s="26"/>
      <c r="H863" s="25"/>
      <c r="I863" s="15"/>
    </row>
    <row r="864">
      <c r="A864" s="6"/>
      <c r="B864" s="6"/>
      <c r="C864" s="6"/>
      <c r="D864" s="21"/>
      <c r="E864" s="22"/>
      <c r="F864" s="22"/>
      <c r="G864" s="23"/>
      <c r="H864" s="22"/>
      <c r="I864" s="10"/>
    </row>
    <row r="865">
      <c r="A865" s="11"/>
      <c r="B865" s="11"/>
      <c r="C865" s="11"/>
      <c r="D865" s="24"/>
      <c r="E865" s="25"/>
      <c r="F865" s="25"/>
      <c r="G865" s="26"/>
      <c r="H865" s="25"/>
      <c r="I865" s="15"/>
    </row>
    <row r="866">
      <c r="A866" s="6"/>
      <c r="B866" s="6"/>
      <c r="C866" s="6"/>
      <c r="D866" s="21"/>
      <c r="E866" s="22"/>
      <c r="F866" s="22"/>
      <c r="G866" s="23"/>
      <c r="H866" s="22"/>
      <c r="I866" s="10"/>
    </row>
    <row r="867">
      <c r="A867" s="11"/>
      <c r="B867" s="11"/>
      <c r="C867" s="11"/>
      <c r="D867" s="24"/>
      <c r="E867" s="25"/>
      <c r="F867" s="25"/>
      <c r="G867" s="26"/>
      <c r="H867" s="25"/>
      <c r="I867" s="15"/>
    </row>
    <row r="868">
      <c r="A868" s="6"/>
      <c r="B868" s="6"/>
      <c r="C868" s="6"/>
      <c r="D868" s="21"/>
      <c r="E868" s="22"/>
      <c r="F868" s="22"/>
      <c r="G868" s="23"/>
      <c r="H868" s="22"/>
      <c r="I868" s="10"/>
    </row>
    <row r="869">
      <c r="A869" s="11"/>
      <c r="B869" s="11"/>
      <c r="C869" s="11"/>
      <c r="D869" s="24"/>
      <c r="E869" s="25"/>
      <c r="F869" s="25"/>
      <c r="G869" s="26"/>
      <c r="H869" s="25"/>
      <c r="I869" s="15"/>
    </row>
    <row r="870">
      <c r="A870" s="6"/>
      <c r="B870" s="6"/>
      <c r="C870" s="6"/>
      <c r="D870" s="21"/>
      <c r="E870" s="22"/>
      <c r="F870" s="22"/>
      <c r="G870" s="23"/>
      <c r="H870" s="22"/>
      <c r="I870" s="10"/>
    </row>
    <row r="871">
      <c r="A871" s="11"/>
      <c r="B871" s="11"/>
      <c r="C871" s="11"/>
      <c r="D871" s="24"/>
      <c r="E871" s="25"/>
      <c r="F871" s="25"/>
      <c r="G871" s="26"/>
      <c r="H871" s="25"/>
      <c r="I871" s="15"/>
    </row>
    <row r="872">
      <c r="A872" s="6"/>
      <c r="B872" s="6"/>
      <c r="C872" s="6"/>
      <c r="D872" s="21"/>
      <c r="E872" s="22"/>
      <c r="F872" s="22"/>
      <c r="G872" s="23"/>
      <c r="H872" s="22"/>
      <c r="I872" s="10"/>
    </row>
    <row r="873">
      <c r="A873" s="11"/>
      <c r="B873" s="11"/>
      <c r="C873" s="11"/>
      <c r="D873" s="24"/>
      <c r="E873" s="25"/>
      <c r="F873" s="25"/>
      <c r="G873" s="26"/>
      <c r="H873" s="25"/>
      <c r="I873" s="15"/>
    </row>
    <row r="874">
      <c r="A874" s="6"/>
      <c r="B874" s="6"/>
      <c r="C874" s="6"/>
      <c r="D874" s="21"/>
      <c r="E874" s="22"/>
      <c r="F874" s="22"/>
      <c r="G874" s="23"/>
      <c r="H874" s="22"/>
      <c r="I874" s="10"/>
    </row>
    <row r="875">
      <c r="A875" s="11"/>
      <c r="B875" s="11"/>
      <c r="C875" s="11"/>
      <c r="D875" s="24"/>
      <c r="E875" s="25"/>
      <c r="F875" s="25"/>
      <c r="G875" s="26"/>
      <c r="H875" s="25"/>
      <c r="I875" s="15"/>
    </row>
    <row r="876">
      <c r="A876" s="6"/>
      <c r="B876" s="6"/>
      <c r="C876" s="6"/>
      <c r="D876" s="21"/>
      <c r="E876" s="22"/>
      <c r="F876" s="22"/>
      <c r="G876" s="23"/>
      <c r="H876" s="22"/>
      <c r="I876" s="10"/>
    </row>
    <row r="877">
      <c r="A877" s="11"/>
      <c r="B877" s="11"/>
      <c r="C877" s="11"/>
      <c r="D877" s="24"/>
      <c r="E877" s="25"/>
      <c r="F877" s="25"/>
      <c r="G877" s="26"/>
      <c r="H877" s="25"/>
      <c r="I877" s="15"/>
    </row>
    <row r="878">
      <c r="A878" s="6"/>
      <c r="B878" s="6"/>
      <c r="C878" s="6"/>
      <c r="D878" s="21"/>
      <c r="E878" s="22"/>
      <c r="F878" s="22"/>
      <c r="G878" s="23"/>
      <c r="H878" s="22"/>
      <c r="I878" s="10"/>
    </row>
    <row r="879">
      <c r="A879" s="11"/>
      <c r="B879" s="11"/>
      <c r="C879" s="11"/>
      <c r="D879" s="24"/>
      <c r="E879" s="25"/>
      <c r="F879" s="25"/>
      <c r="G879" s="26"/>
      <c r="H879" s="25"/>
      <c r="I879" s="15"/>
    </row>
    <row r="880">
      <c r="A880" s="6"/>
      <c r="B880" s="6"/>
      <c r="C880" s="6"/>
      <c r="D880" s="21"/>
      <c r="E880" s="22"/>
      <c r="F880" s="22"/>
      <c r="G880" s="23"/>
      <c r="H880" s="22"/>
      <c r="I880" s="10"/>
    </row>
    <row r="881">
      <c r="A881" s="11"/>
      <c r="B881" s="11"/>
      <c r="C881" s="11"/>
      <c r="D881" s="24"/>
      <c r="E881" s="25"/>
      <c r="F881" s="25"/>
      <c r="G881" s="26"/>
      <c r="H881" s="25"/>
      <c r="I881" s="15"/>
    </row>
    <row r="882">
      <c r="A882" s="6"/>
      <c r="B882" s="6"/>
      <c r="C882" s="6"/>
      <c r="D882" s="21"/>
      <c r="E882" s="22"/>
      <c r="F882" s="22"/>
      <c r="G882" s="23"/>
      <c r="H882" s="22"/>
      <c r="I882" s="10"/>
    </row>
    <row r="883">
      <c r="A883" s="11"/>
      <c r="B883" s="11"/>
      <c r="C883" s="11"/>
      <c r="D883" s="24"/>
      <c r="E883" s="25"/>
      <c r="F883" s="25"/>
      <c r="G883" s="26"/>
      <c r="H883" s="25"/>
      <c r="I883" s="15"/>
    </row>
    <row r="884">
      <c r="A884" s="6"/>
      <c r="B884" s="6"/>
      <c r="C884" s="6"/>
      <c r="D884" s="21"/>
      <c r="E884" s="22"/>
      <c r="F884" s="22"/>
      <c r="G884" s="23"/>
      <c r="H884" s="22"/>
      <c r="I884" s="10"/>
    </row>
    <row r="885">
      <c r="A885" s="11"/>
      <c r="B885" s="11"/>
      <c r="C885" s="11"/>
      <c r="D885" s="24"/>
      <c r="E885" s="25"/>
      <c r="F885" s="25"/>
      <c r="G885" s="26"/>
      <c r="H885" s="25"/>
      <c r="I885" s="15"/>
    </row>
    <row r="886">
      <c r="A886" s="6"/>
      <c r="B886" s="6"/>
      <c r="C886" s="6"/>
      <c r="D886" s="21"/>
      <c r="E886" s="22"/>
      <c r="F886" s="22"/>
      <c r="G886" s="23"/>
      <c r="H886" s="22"/>
      <c r="I886" s="10"/>
    </row>
    <row r="887">
      <c r="A887" s="11"/>
      <c r="B887" s="11"/>
      <c r="C887" s="11"/>
      <c r="D887" s="24"/>
      <c r="E887" s="25"/>
      <c r="F887" s="25"/>
      <c r="G887" s="26"/>
      <c r="H887" s="25"/>
      <c r="I887" s="15"/>
    </row>
    <row r="888">
      <c r="A888" s="6"/>
      <c r="B888" s="6"/>
      <c r="C888" s="6"/>
      <c r="D888" s="21"/>
      <c r="E888" s="22"/>
      <c r="F888" s="22"/>
      <c r="G888" s="23"/>
      <c r="H888" s="22"/>
      <c r="I888" s="10"/>
    </row>
    <row r="889">
      <c r="A889" s="11"/>
      <c r="B889" s="11"/>
      <c r="C889" s="11"/>
      <c r="D889" s="24"/>
      <c r="E889" s="25"/>
      <c r="F889" s="25"/>
      <c r="G889" s="26"/>
      <c r="H889" s="25"/>
      <c r="I889" s="15"/>
    </row>
    <row r="890">
      <c r="A890" s="6"/>
      <c r="B890" s="6"/>
      <c r="C890" s="6"/>
      <c r="D890" s="21"/>
      <c r="E890" s="22"/>
      <c r="F890" s="22"/>
      <c r="G890" s="23"/>
      <c r="H890" s="22"/>
      <c r="I890" s="10"/>
    </row>
    <row r="891">
      <c r="A891" s="11"/>
      <c r="B891" s="11"/>
      <c r="C891" s="11"/>
      <c r="D891" s="24"/>
      <c r="E891" s="25"/>
      <c r="F891" s="25"/>
      <c r="G891" s="26"/>
      <c r="H891" s="25"/>
      <c r="I891" s="15"/>
    </row>
    <row r="892">
      <c r="A892" s="6"/>
      <c r="B892" s="6"/>
      <c r="C892" s="6"/>
      <c r="D892" s="21"/>
      <c r="E892" s="22"/>
      <c r="F892" s="22"/>
      <c r="G892" s="23"/>
      <c r="H892" s="22"/>
      <c r="I892" s="10"/>
    </row>
    <row r="893">
      <c r="A893" s="11"/>
      <c r="B893" s="11"/>
      <c r="C893" s="11"/>
      <c r="D893" s="24"/>
      <c r="E893" s="25"/>
      <c r="F893" s="25"/>
      <c r="G893" s="26"/>
      <c r="H893" s="25"/>
      <c r="I893" s="15"/>
    </row>
    <row r="894">
      <c r="A894" s="6"/>
      <c r="B894" s="6"/>
      <c r="C894" s="6"/>
      <c r="D894" s="21"/>
      <c r="E894" s="22"/>
      <c r="F894" s="22"/>
      <c r="G894" s="23"/>
      <c r="H894" s="22"/>
      <c r="I894" s="10"/>
    </row>
    <row r="895">
      <c r="A895" s="11"/>
      <c r="B895" s="11"/>
      <c r="C895" s="11"/>
      <c r="D895" s="24"/>
      <c r="E895" s="25"/>
      <c r="F895" s="25"/>
      <c r="G895" s="26"/>
      <c r="H895" s="25"/>
      <c r="I895" s="15"/>
    </row>
    <row r="896">
      <c r="A896" s="6"/>
      <c r="B896" s="6"/>
      <c r="C896" s="6"/>
      <c r="D896" s="21"/>
      <c r="E896" s="22"/>
      <c r="F896" s="22"/>
      <c r="G896" s="23"/>
      <c r="H896" s="22"/>
      <c r="I896" s="10"/>
    </row>
    <row r="897">
      <c r="A897" s="11"/>
      <c r="B897" s="11"/>
      <c r="C897" s="11"/>
      <c r="D897" s="24"/>
      <c r="E897" s="25"/>
      <c r="F897" s="25"/>
      <c r="G897" s="26"/>
      <c r="H897" s="25"/>
      <c r="I897" s="15"/>
    </row>
    <row r="898">
      <c r="A898" s="6"/>
      <c r="B898" s="6"/>
      <c r="C898" s="6"/>
      <c r="D898" s="21"/>
      <c r="E898" s="22"/>
      <c r="F898" s="22"/>
      <c r="G898" s="23"/>
      <c r="H898" s="22"/>
      <c r="I898" s="10"/>
    </row>
    <row r="899">
      <c r="A899" s="11"/>
      <c r="B899" s="11"/>
      <c r="C899" s="11"/>
      <c r="D899" s="24"/>
      <c r="E899" s="25"/>
      <c r="F899" s="25"/>
      <c r="G899" s="26"/>
      <c r="H899" s="25"/>
      <c r="I899" s="15"/>
    </row>
    <row r="900">
      <c r="A900" s="6"/>
      <c r="B900" s="6"/>
      <c r="C900" s="6"/>
      <c r="D900" s="21"/>
      <c r="E900" s="22"/>
      <c r="F900" s="22"/>
      <c r="G900" s="23"/>
      <c r="H900" s="22"/>
      <c r="I900" s="10"/>
    </row>
    <row r="901">
      <c r="A901" s="11"/>
      <c r="B901" s="11"/>
      <c r="C901" s="11"/>
      <c r="D901" s="24"/>
      <c r="E901" s="25"/>
      <c r="F901" s="25"/>
      <c r="G901" s="26"/>
      <c r="H901" s="25"/>
      <c r="I901" s="15"/>
    </row>
    <row r="902">
      <c r="A902" s="6"/>
      <c r="B902" s="6"/>
      <c r="C902" s="6"/>
      <c r="D902" s="21"/>
      <c r="E902" s="22"/>
      <c r="F902" s="22"/>
      <c r="G902" s="23"/>
      <c r="H902" s="22"/>
      <c r="I902" s="10"/>
    </row>
    <row r="903">
      <c r="A903" s="11"/>
      <c r="B903" s="11"/>
      <c r="C903" s="11"/>
      <c r="D903" s="24"/>
      <c r="E903" s="25"/>
      <c r="F903" s="25"/>
      <c r="G903" s="26"/>
      <c r="H903" s="25"/>
      <c r="I903" s="15"/>
    </row>
    <row r="904">
      <c r="A904" s="6"/>
      <c r="B904" s="6"/>
      <c r="C904" s="6"/>
      <c r="D904" s="21"/>
      <c r="E904" s="22"/>
      <c r="F904" s="22"/>
      <c r="G904" s="23"/>
      <c r="H904" s="22"/>
      <c r="I904" s="10"/>
    </row>
    <row r="905">
      <c r="A905" s="11"/>
      <c r="B905" s="11"/>
      <c r="C905" s="11"/>
      <c r="D905" s="24"/>
      <c r="E905" s="25"/>
      <c r="F905" s="25"/>
      <c r="G905" s="26"/>
      <c r="H905" s="25"/>
      <c r="I905" s="15"/>
    </row>
    <row r="906">
      <c r="A906" s="6"/>
      <c r="B906" s="6"/>
      <c r="C906" s="6"/>
      <c r="D906" s="21"/>
      <c r="E906" s="22"/>
      <c r="F906" s="22"/>
      <c r="G906" s="23"/>
      <c r="H906" s="22"/>
      <c r="I906" s="10"/>
    </row>
    <row r="907">
      <c r="A907" s="11"/>
      <c r="B907" s="11"/>
      <c r="C907" s="11"/>
      <c r="D907" s="24"/>
      <c r="E907" s="25"/>
      <c r="F907" s="25"/>
      <c r="G907" s="26"/>
      <c r="H907" s="25"/>
      <c r="I907" s="15"/>
    </row>
    <row r="908">
      <c r="A908" s="6"/>
      <c r="B908" s="6"/>
      <c r="C908" s="6"/>
      <c r="D908" s="21"/>
      <c r="E908" s="22"/>
      <c r="F908" s="22"/>
      <c r="G908" s="23"/>
      <c r="H908" s="22"/>
      <c r="I908" s="10"/>
    </row>
    <row r="909">
      <c r="A909" s="11"/>
      <c r="B909" s="11"/>
      <c r="C909" s="11"/>
      <c r="D909" s="24"/>
      <c r="E909" s="25"/>
      <c r="F909" s="25"/>
      <c r="G909" s="26"/>
      <c r="H909" s="25"/>
      <c r="I909" s="15"/>
    </row>
    <row r="910">
      <c r="A910" s="6"/>
      <c r="B910" s="6"/>
      <c r="C910" s="6"/>
      <c r="D910" s="21"/>
      <c r="E910" s="22"/>
      <c r="F910" s="22"/>
      <c r="G910" s="23"/>
      <c r="H910" s="22"/>
      <c r="I910" s="10"/>
    </row>
    <row r="911">
      <c r="A911" s="11"/>
      <c r="B911" s="11"/>
      <c r="C911" s="11"/>
      <c r="D911" s="24"/>
      <c r="E911" s="25"/>
      <c r="F911" s="25"/>
      <c r="G911" s="26"/>
      <c r="H911" s="25"/>
      <c r="I911" s="15"/>
    </row>
    <row r="912">
      <c r="A912" s="6"/>
      <c r="B912" s="6"/>
      <c r="C912" s="6"/>
      <c r="D912" s="21"/>
      <c r="E912" s="22"/>
      <c r="F912" s="22"/>
      <c r="G912" s="23"/>
      <c r="H912" s="22"/>
      <c r="I912" s="10"/>
    </row>
    <row r="913">
      <c r="A913" s="11"/>
      <c r="B913" s="11"/>
      <c r="C913" s="11"/>
      <c r="D913" s="24"/>
      <c r="E913" s="25"/>
      <c r="F913" s="25"/>
      <c r="G913" s="26"/>
      <c r="H913" s="25"/>
      <c r="I913" s="15"/>
    </row>
    <row r="914">
      <c r="A914" s="6"/>
      <c r="B914" s="6"/>
      <c r="C914" s="6"/>
      <c r="D914" s="21"/>
      <c r="E914" s="22"/>
      <c r="F914" s="22"/>
      <c r="G914" s="23"/>
      <c r="H914" s="22"/>
      <c r="I914" s="10"/>
    </row>
    <row r="915">
      <c r="A915" s="11"/>
      <c r="B915" s="11"/>
      <c r="C915" s="11"/>
      <c r="D915" s="24"/>
      <c r="E915" s="25"/>
      <c r="F915" s="25"/>
      <c r="G915" s="26"/>
      <c r="H915" s="25"/>
      <c r="I915" s="15"/>
    </row>
    <row r="916">
      <c r="A916" s="6"/>
      <c r="B916" s="6"/>
      <c r="C916" s="6"/>
      <c r="D916" s="21"/>
      <c r="E916" s="22"/>
      <c r="F916" s="22"/>
      <c r="G916" s="23"/>
      <c r="H916" s="22"/>
      <c r="I916" s="10"/>
    </row>
    <row r="917">
      <c r="A917" s="11"/>
      <c r="B917" s="11"/>
      <c r="C917" s="11"/>
      <c r="D917" s="24"/>
      <c r="E917" s="25"/>
      <c r="F917" s="25"/>
      <c r="G917" s="26"/>
      <c r="H917" s="25"/>
      <c r="I917" s="15"/>
    </row>
    <row r="918">
      <c r="A918" s="6"/>
      <c r="B918" s="6"/>
      <c r="C918" s="6"/>
      <c r="D918" s="21"/>
      <c r="E918" s="22"/>
      <c r="F918" s="22"/>
      <c r="G918" s="23"/>
      <c r="H918" s="22"/>
      <c r="I918" s="10"/>
    </row>
    <row r="919">
      <c r="A919" s="11"/>
      <c r="B919" s="11"/>
      <c r="C919" s="11"/>
      <c r="D919" s="24"/>
      <c r="E919" s="25"/>
      <c r="F919" s="25"/>
      <c r="G919" s="26"/>
      <c r="H919" s="25"/>
      <c r="I919" s="15"/>
    </row>
    <row r="920">
      <c r="A920" s="6"/>
      <c r="B920" s="6"/>
      <c r="C920" s="6"/>
      <c r="D920" s="21"/>
      <c r="E920" s="22"/>
      <c r="F920" s="22"/>
      <c r="G920" s="23"/>
      <c r="H920" s="22"/>
      <c r="I920" s="10"/>
    </row>
    <row r="921">
      <c r="A921" s="11"/>
      <c r="B921" s="11"/>
      <c r="C921" s="11"/>
      <c r="D921" s="24"/>
      <c r="E921" s="25"/>
      <c r="F921" s="25"/>
      <c r="G921" s="26"/>
      <c r="H921" s="25"/>
      <c r="I921" s="15"/>
    </row>
    <row r="922">
      <c r="A922" s="6"/>
      <c r="B922" s="6"/>
      <c r="C922" s="6"/>
      <c r="D922" s="21"/>
      <c r="E922" s="22"/>
      <c r="F922" s="22"/>
      <c r="G922" s="23"/>
      <c r="H922" s="22"/>
      <c r="I922" s="10"/>
    </row>
    <row r="923">
      <c r="A923" s="11"/>
      <c r="B923" s="11"/>
      <c r="C923" s="11"/>
      <c r="D923" s="24"/>
      <c r="E923" s="25"/>
      <c r="F923" s="25"/>
      <c r="G923" s="26"/>
      <c r="H923" s="25"/>
      <c r="I923" s="15"/>
    </row>
    <row r="924">
      <c r="A924" s="6"/>
      <c r="B924" s="6"/>
      <c r="C924" s="6"/>
      <c r="D924" s="21"/>
      <c r="E924" s="22"/>
      <c r="F924" s="22"/>
      <c r="G924" s="23"/>
      <c r="H924" s="22"/>
      <c r="I924" s="10"/>
    </row>
    <row r="925">
      <c r="A925" s="11"/>
      <c r="B925" s="11"/>
      <c r="C925" s="11"/>
      <c r="D925" s="24"/>
      <c r="E925" s="25"/>
      <c r="F925" s="25"/>
      <c r="G925" s="26"/>
      <c r="H925" s="25"/>
      <c r="I925" s="15"/>
    </row>
    <row r="926">
      <c r="A926" s="6"/>
      <c r="B926" s="6"/>
      <c r="C926" s="6"/>
      <c r="D926" s="21"/>
      <c r="E926" s="22"/>
      <c r="F926" s="22"/>
      <c r="G926" s="23"/>
      <c r="H926" s="22"/>
      <c r="I926" s="10"/>
    </row>
    <row r="927">
      <c r="A927" s="11"/>
      <c r="B927" s="11"/>
      <c r="C927" s="11"/>
      <c r="D927" s="24"/>
      <c r="E927" s="25"/>
      <c r="F927" s="25"/>
      <c r="G927" s="26"/>
      <c r="H927" s="25"/>
      <c r="I927" s="15"/>
    </row>
    <row r="928">
      <c r="A928" s="6"/>
      <c r="B928" s="6"/>
      <c r="C928" s="6"/>
      <c r="D928" s="21"/>
      <c r="E928" s="22"/>
      <c r="F928" s="22"/>
      <c r="G928" s="23"/>
      <c r="H928" s="22"/>
      <c r="I928" s="10"/>
    </row>
    <row r="929">
      <c r="A929" s="11"/>
      <c r="B929" s="11"/>
      <c r="C929" s="11"/>
      <c r="D929" s="24"/>
      <c r="E929" s="25"/>
      <c r="F929" s="25"/>
      <c r="G929" s="26"/>
      <c r="H929" s="25"/>
      <c r="I929" s="15"/>
    </row>
    <row r="930">
      <c r="A930" s="6"/>
      <c r="B930" s="6"/>
      <c r="C930" s="6"/>
      <c r="D930" s="21"/>
      <c r="E930" s="22"/>
      <c r="F930" s="22"/>
      <c r="G930" s="23"/>
      <c r="H930" s="22"/>
      <c r="I930" s="10"/>
    </row>
    <row r="931">
      <c r="A931" s="11"/>
      <c r="B931" s="11"/>
      <c r="C931" s="11"/>
      <c r="D931" s="24"/>
      <c r="E931" s="25"/>
      <c r="F931" s="25"/>
      <c r="G931" s="26"/>
      <c r="H931" s="25"/>
      <c r="I931" s="15"/>
    </row>
    <row r="932">
      <c r="A932" s="6"/>
      <c r="B932" s="6"/>
      <c r="C932" s="6"/>
      <c r="D932" s="21"/>
      <c r="E932" s="22"/>
      <c r="F932" s="22"/>
      <c r="G932" s="23"/>
      <c r="H932" s="22"/>
      <c r="I932" s="10"/>
    </row>
    <row r="933">
      <c r="A933" s="11"/>
      <c r="B933" s="11"/>
      <c r="C933" s="11"/>
      <c r="D933" s="24"/>
      <c r="E933" s="25"/>
      <c r="F933" s="25"/>
      <c r="G933" s="26"/>
      <c r="H933" s="25"/>
      <c r="I933" s="15"/>
    </row>
    <row r="934">
      <c r="A934" s="6"/>
      <c r="B934" s="6"/>
      <c r="C934" s="6"/>
      <c r="D934" s="21"/>
      <c r="E934" s="22"/>
      <c r="F934" s="22"/>
      <c r="G934" s="23"/>
      <c r="H934" s="22"/>
      <c r="I934" s="10"/>
    </row>
    <row r="935">
      <c r="A935" s="11"/>
      <c r="B935" s="11"/>
      <c r="C935" s="11"/>
      <c r="D935" s="24"/>
      <c r="E935" s="25"/>
      <c r="F935" s="25"/>
      <c r="G935" s="26"/>
      <c r="H935" s="25"/>
      <c r="I935" s="15"/>
    </row>
    <row r="936">
      <c r="A936" s="6"/>
      <c r="B936" s="6"/>
      <c r="C936" s="6"/>
      <c r="D936" s="21"/>
      <c r="E936" s="22"/>
      <c r="F936" s="22"/>
      <c r="G936" s="23"/>
      <c r="H936" s="22"/>
      <c r="I936" s="10"/>
    </row>
    <row r="937">
      <c r="A937" s="11"/>
      <c r="B937" s="11"/>
      <c r="C937" s="11"/>
      <c r="D937" s="24"/>
      <c r="E937" s="25"/>
      <c r="F937" s="25"/>
      <c r="G937" s="26"/>
      <c r="H937" s="25"/>
      <c r="I937" s="15"/>
    </row>
    <row r="938">
      <c r="A938" s="6"/>
      <c r="B938" s="6"/>
      <c r="C938" s="6"/>
      <c r="D938" s="21"/>
      <c r="E938" s="22"/>
      <c r="F938" s="22"/>
      <c r="G938" s="23"/>
      <c r="H938" s="22"/>
      <c r="I938" s="10"/>
    </row>
    <row r="939">
      <c r="A939" s="11"/>
      <c r="B939" s="11"/>
      <c r="C939" s="11"/>
      <c r="D939" s="24"/>
      <c r="E939" s="25"/>
      <c r="F939" s="25"/>
      <c r="G939" s="26"/>
      <c r="H939" s="25"/>
      <c r="I939" s="15"/>
    </row>
    <row r="940">
      <c r="A940" s="6"/>
      <c r="B940" s="6"/>
      <c r="C940" s="6"/>
      <c r="D940" s="21"/>
      <c r="E940" s="22"/>
      <c r="F940" s="22"/>
      <c r="G940" s="23"/>
      <c r="H940" s="22"/>
      <c r="I940" s="10"/>
    </row>
    <row r="941">
      <c r="A941" s="11"/>
      <c r="B941" s="11"/>
      <c r="C941" s="11"/>
      <c r="D941" s="24"/>
      <c r="E941" s="25"/>
      <c r="F941" s="25"/>
      <c r="G941" s="26"/>
      <c r="H941" s="25"/>
      <c r="I941" s="15"/>
    </row>
    <row r="942">
      <c r="A942" s="6"/>
      <c r="B942" s="6"/>
      <c r="C942" s="6"/>
      <c r="D942" s="21"/>
      <c r="E942" s="22"/>
      <c r="F942" s="22"/>
      <c r="G942" s="23"/>
      <c r="H942" s="22"/>
      <c r="I942" s="10"/>
    </row>
    <row r="943">
      <c r="A943" s="11"/>
      <c r="B943" s="11"/>
      <c r="C943" s="11"/>
      <c r="D943" s="24"/>
      <c r="E943" s="25"/>
      <c r="F943" s="25"/>
      <c r="G943" s="26"/>
      <c r="H943" s="25"/>
      <c r="I943" s="15"/>
    </row>
    <row r="944">
      <c r="A944" s="6"/>
      <c r="B944" s="6"/>
      <c r="C944" s="6"/>
      <c r="D944" s="21"/>
      <c r="E944" s="22"/>
      <c r="F944" s="22"/>
      <c r="G944" s="23"/>
      <c r="H944" s="22"/>
      <c r="I944" s="10"/>
    </row>
    <row r="945">
      <c r="A945" s="11"/>
      <c r="B945" s="11"/>
      <c r="C945" s="11"/>
      <c r="D945" s="24"/>
      <c r="E945" s="25"/>
      <c r="F945" s="25"/>
      <c r="G945" s="26"/>
      <c r="H945" s="25"/>
      <c r="I945" s="15"/>
    </row>
    <row r="946">
      <c r="A946" s="6"/>
      <c r="B946" s="6"/>
      <c r="C946" s="6"/>
      <c r="D946" s="21"/>
      <c r="E946" s="22"/>
      <c r="F946" s="22"/>
      <c r="G946" s="23"/>
      <c r="H946" s="22"/>
      <c r="I946" s="10"/>
    </row>
    <row r="947">
      <c r="A947" s="11"/>
      <c r="B947" s="11"/>
      <c r="C947" s="11"/>
      <c r="D947" s="24"/>
      <c r="E947" s="25"/>
      <c r="F947" s="25"/>
      <c r="G947" s="26"/>
      <c r="H947" s="25"/>
      <c r="I947" s="15"/>
    </row>
    <row r="948">
      <c r="A948" s="6"/>
      <c r="B948" s="6"/>
      <c r="C948" s="6"/>
      <c r="D948" s="21"/>
      <c r="E948" s="22"/>
      <c r="F948" s="22"/>
      <c r="G948" s="23"/>
      <c r="H948" s="22"/>
      <c r="I948" s="10"/>
    </row>
    <row r="949">
      <c r="A949" s="11"/>
      <c r="B949" s="11"/>
      <c r="C949" s="11"/>
      <c r="D949" s="24"/>
      <c r="E949" s="25"/>
      <c r="F949" s="25"/>
      <c r="G949" s="26"/>
      <c r="H949" s="25"/>
      <c r="I949" s="15"/>
    </row>
    <row r="950">
      <c r="A950" s="6"/>
      <c r="B950" s="6"/>
      <c r="C950" s="6"/>
      <c r="D950" s="21"/>
      <c r="E950" s="22"/>
      <c r="F950" s="22"/>
      <c r="G950" s="23"/>
      <c r="H950" s="22"/>
      <c r="I950" s="10"/>
    </row>
    <row r="951">
      <c r="A951" s="11"/>
      <c r="B951" s="11"/>
      <c r="C951" s="11"/>
      <c r="D951" s="24"/>
      <c r="E951" s="25"/>
      <c r="F951" s="25"/>
      <c r="G951" s="26"/>
      <c r="H951" s="25"/>
      <c r="I951" s="15"/>
    </row>
    <row r="952">
      <c r="A952" s="6"/>
      <c r="B952" s="6"/>
      <c r="C952" s="6"/>
      <c r="D952" s="21"/>
      <c r="E952" s="22"/>
      <c r="F952" s="22"/>
      <c r="G952" s="23"/>
      <c r="H952" s="22"/>
      <c r="I952" s="10"/>
    </row>
    <row r="953">
      <c r="A953" s="11"/>
      <c r="B953" s="11"/>
      <c r="C953" s="11"/>
      <c r="D953" s="24"/>
      <c r="E953" s="25"/>
      <c r="F953" s="25"/>
      <c r="G953" s="26"/>
      <c r="H953" s="25"/>
      <c r="I953" s="15"/>
    </row>
    <row r="954">
      <c r="A954" s="6"/>
      <c r="B954" s="6"/>
      <c r="C954" s="6"/>
      <c r="D954" s="21"/>
      <c r="E954" s="22"/>
      <c r="F954" s="22"/>
      <c r="G954" s="23"/>
      <c r="H954" s="22"/>
      <c r="I954" s="10"/>
    </row>
    <row r="955">
      <c r="A955" s="11"/>
      <c r="B955" s="11"/>
      <c r="C955" s="11"/>
      <c r="D955" s="24"/>
      <c r="E955" s="25"/>
      <c r="F955" s="25"/>
      <c r="G955" s="26"/>
      <c r="H955" s="25"/>
      <c r="I955" s="15"/>
    </row>
    <row r="956">
      <c r="A956" s="6"/>
      <c r="B956" s="6"/>
      <c r="C956" s="6"/>
      <c r="D956" s="21"/>
      <c r="E956" s="22"/>
      <c r="F956" s="22"/>
      <c r="G956" s="23"/>
      <c r="H956" s="22"/>
      <c r="I956" s="10"/>
    </row>
    <row r="957">
      <c r="A957" s="11"/>
      <c r="B957" s="11"/>
      <c r="C957" s="11"/>
      <c r="D957" s="24"/>
      <c r="E957" s="25"/>
      <c r="F957" s="25"/>
      <c r="G957" s="26"/>
      <c r="H957" s="25"/>
      <c r="I957" s="15"/>
    </row>
    <row r="958">
      <c r="A958" s="6"/>
      <c r="B958" s="6"/>
      <c r="C958" s="6"/>
      <c r="D958" s="21"/>
      <c r="E958" s="22"/>
      <c r="F958" s="22"/>
      <c r="G958" s="23"/>
      <c r="H958" s="22"/>
      <c r="I958" s="10"/>
    </row>
    <row r="959">
      <c r="A959" s="11"/>
      <c r="B959" s="11"/>
      <c r="C959" s="11"/>
      <c r="D959" s="24"/>
      <c r="E959" s="25"/>
      <c r="F959" s="25"/>
      <c r="G959" s="26"/>
      <c r="H959" s="25"/>
      <c r="I959" s="15"/>
    </row>
    <row r="960">
      <c r="A960" s="6"/>
      <c r="B960" s="6"/>
      <c r="C960" s="6"/>
      <c r="D960" s="21"/>
      <c r="E960" s="22"/>
      <c r="F960" s="22"/>
      <c r="G960" s="23"/>
      <c r="H960" s="22"/>
      <c r="I960" s="10"/>
    </row>
    <row r="961">
      <c r="A961" s="11"/>
      <c r="B961" s="11"/>
      <c r="C961" s="11"/>
      <c r="D961" s="24"/>
      <c r="E961" s="25"/>
      <c r="F961" s="25"/>
      <c r="G961" s="26"/>
      <c r="H961" s="25"/>
      <c r="I961" s="15"/>
    </row>
    <row r="962">
      <c r="A962" s="6"/>
      <c r="B962" s="6"/>
      <c r="C962" s="6"/>
      <c r="D962" s="21"/>
      <c r="E962" s="22"/>
      <c r="F962" s="22"/>
      <c r="G962" s="23"/>
      <c r="H962" s="22"/>
      <c r="I962" s="10"/>
    </row>
    <row r="963">
      <c r="A963" s="11"/>
      <c r="B963" s="11"/>
      <c r="C963" s="11"/>
      <c r="D963" s="24"/>
      <c r="E963" s="25"/>
      <c r="F963" s="25"/>
      <c r="G963" s="26"/>
      <c r="H963" s="25"/>
      <c r="I963" s="15"/>
    </row>
    <row r="964">
      <c r="A964" s="6"/>
      <c r="B964" s="6"/>
      <c r="C964" s="6"/>
      <c r="D964" s="21"/>
      <c r="E964" s="22"/>
      <c r="F964" s="22"/>
      <c r="G964" s="23"/>
      <c r="H964" s="22"/>
      <c r="I964" s="10"/>
    </row>
    <row r="965">
      <c r="A965" s="11"/>
      <c r="B965" s="11"/>
      <c r="C965" s="11"/>
      <c r="D965" s="24"/>
      <c r="E965" s="25"/>
      <c r="F965" s="25"/>
      <c r="G965" s="26"/>
      <c r="H965" s="25"/>
      <c r="I965" s="15"/>
    </row>
    <row r="966">
      <c r="A966" s="6"/>
      <c r="B966" s="6"/>
      <c r="C966" s="6"/>
      <c r="D966" s="21"/>
      <c r="E966" s="22"/>
      <c r="F966" s="22"/>
      <c r="G966" s="23"/>
      <c r="H966" s="22"/>
      <c r="I966" s="10"/>
    </row>
    <row r="967">
      <c r="A967" s="11"/>
      <c r="B967" s="11"/>
      <c r="C967" s="11"/>
      <c r="D967" s="24"/>
      <c r="E967" s="25"/>
      <c r="F967" s="25"/>
      <c r="G967" s="26"/>
      <c r="H967" s="25"/>
      <c r="I967" s="15"/>
    </row>
    <row r="968">
      <c r="A968" s="6"/>
      <c r="B968" s="6"/>
      <c r="C968" s="6"/>
      <c r="D968" s="21"/>
      <c r="E968" s="22"/>
      <c r="F968" s="22"/>
      <c r="G968" s="23"/>
      <c r="H968" s="22"/>
      <c r="I968" s="10"/>
    </row>
    <row r="969">
      <c r="A969" s="11"/>
      <c r="B969" s="11"/>
      <c r="C969" s="11"/>
      <c r="D969" s="24"/>
      <c r="E969" s="25"/>
      <c r="F969" s="25"/>
      <c r="G969" s="26"/>
      <c r="H969" s="25"/>
      <c r="I969" s="15"/>
    </row>
    <row r="970">
      <c r="A970" s="6"/>
      <c r="B970" s="6"/>
      <c r="C970" s="6"/>
      <c r="D970" s="21"/>
      <c r="E970" s="22"/>
      <c r="F970" s="22"/>
      <c r="G970" s="23"/>
      <c r="H970" s="22"/>
      <c r="I970" s="10"/>
    </row>
    <row r="971">
      <c r="A971" s="11"/>
      <c r="B971" s="11"/>
      <c r="C971" s="11"/>
      <c r="D971" s="24"/>
      <c r="E971" s="25"/>
      <c r="F971" s="25"/>
      <c r="G971" s="26"/>
      <c r="H971" s="25"/>
      <c r="I971" s="15"/>
    </row>
    <row r="972">
      <c r="A972" s="6"/>
      <c r="B972" s="6"/>
      <c r="C972" s="6"/>
      <c r="D972" s="21"/>
      <c r="E972" s="22"/>
      <c r="F972" s="22"/>
      <c r="G972" s="23"/>
      <c r="H972" s="22"/>
      <c r="I972" s="10"/>
    </row>
    <row r="973">
      <c r="A973" s="11"/>
      <c r="B973" s="11"/>
      <c r="C973" s="11"/>
      <c r="D973" s="24"/>
      <c r="E973" s="25"/>
      <c r="F973" s="25"/>
      <c r="G973" s="26"/>
      <c r="H973" s="25"/>
      <c r="I973" s="15"/>
    </row>
    <row r="974">
      <c r="A974" s="6"/>
      <c r="B974" s="6"/>
      <c r="C974" s="6"/>
      <c r="D974" s="21"/>
      <c r="E974" s="22"/>
      <c r="F974" s="22"/>
      <c r="G974" s="23"/>
      <c r="H974" s="22"/>
      <c r="I974" s="10"/>
    </row>
    <row r="975">
      <c r="A975" s="11"/>
      <c r="B975" s="11"/>
      <c r="C975" s="11"/>
      <c r="D975" s="24"/>
      <c r="E975" s="25"/>
      <c r="F975" s="25"/>
      <c r="G975" s="26"/>
      <c r="H975" s="25"/>
      <c r="I975" s="15"/>
    </row>
    <row r="976">
      <c r="A976" s="6"/>
      <c r="B976" s="6"/>
      <c r="C976" s="6"/>
      <c r="D976" s="21"/>
      <c r="E976" s="22"/>
      <c r="F976" s="22"/>
      <c r="G976" s="23"/>
      <c r="H976" s="22"/>
      <c r="I976" s="10"/>
    </row>
    <row r="977">
      <c r="A977" s="11"/>
      <c r="B977" s="11"/>
      <c r="C977" s="11"/>
      <c r="D977" s="24"/>
      <c r="E977" s="25"/>
      <c r="F977" s="25"/>
      <c r="G977" s="26"/>
      <c r="H977" s="25"/>
      <c r="I977" s="15"/>
    </row>
    <row r="978">
      <c r="A978" s="6"/>
      <c r="B978" s="6"/>
      <c r="C978" s="6"/>
      <c r="D978" s="21"/>
      <c r="E978" s="22"/>
      <c r="F978" s="22"/>
      <c r="G978" s="23"/>
      <c r="H978" s="22"/>
      <c r="I978" s="10"/>
    </row>
    <row r="979">
      <c r="A979" s="11"/>
      <c r="B979" s="11"/>
      <c r="C979" s="11"/>
      <c r="D979" s="24"/>
      <c r="E979" s="25"/>
      <c r="F979" s="25"/>
      <c r="G979" s="26"/>
      <c r="H979" s="25"/>
      <c r="I979" s="15"/>
    </row>
    <row r="980">
      <c r="A980" s="6"/>
      <c r="B980" s="6"/>
      <c r="C980" s="6"/>
      <c r="D980" s="21"/>
      <c r="E980" s="22"/>
      <c r="F980" s="22"/>
      <c r="G980" s="23"/>
      <c r="H980" s="22"/>
      <c r="I980" s="10"/>
    </row>
    <row r="981">
      <c r="A981" s="11"/>
      <c r="B981" s="11"/>
      <c r="C981" s="11"/>
      <c r="D981" s="24"/>
      <c r="E981" s="25"/>
      <c r="F981" s="25"/>
      <c r="G981" s="26"/>
      <c r="H981" s="25"/>
      <c r="I981" s="15"/>
    </row>
    <row r="982">
      <c r="A982" s="6"/>
      <c r="B982" s="6"/>
      <c r="C982" s="6"/>
      <c r="D982" s="21"/>
      <c r="E982" s="22"/>
      <c r="F982" s="22"/>
      <c r="G982" s="23"/>
      <c r="H982" s="22"/>
      <c r="I982" s="10"/>
    </row>
    <row r="983">
      <c r="A983" s="11"/>
      <c r="B983" s="11"/>
      <c r="C983" s="11"/>
      <c r="D983" s="24"/>
      <c r="E983" s="25"/>
      <c r="F983" s="25"/>
      <c r="G983" s="26"/>
      <c r="H983" s="25"/>
      <c r="I983" s="15"/>
    </row>
    <row r="984">
      <c r="A984" s="6"/>
      <c r="B984" s="6"/>
      <c r="C984" s="6"/>
      <c r="D984" s="21"/>
      <c r="E984" s="22"/>
      <c r="F984" s="22"/>
      <c r="G984" s="23"/>
      <c r="H984" s="22"/>
      <c r="I984" s="10"/>
    </row>
    <row r="985">
      <c r="A985" s="11"/>
      <c r="B985" s="11"/>
      <c r="C985" s="11"/>
      <c r="D985" s="24"/>
      <c r="E985" s="25"/>
      <c r="F985" s="25"/>
      <c r="G985" s="26"/>
      <c r="H985" s="25"/>
      <c r="I985" s="15"/>
    </row>
    <row r="986">
      <c r="A986" s="6"/>
      <c r="B986" s="6"/>
      <c r="C986" s="6"/>
      <c r="D986" s="21"/>
      <c r="E986" s="22"/>
      <c r="F986" s="22"/>
      <c r="G986" s="23"/>
      <c r="H986" s="22"/>
      <c r="I986" s="10"/>
    </row>
    <row r="987">
      <c r="A987" s="11"/>
      <c r="B987" s="11"/>
      <c r="C987" s="11"/>
      <c r="D987" s="24"/>
      <c r="E987" s="25"/>
      <c r="F987" s="25"/>
      <c r="G987" s="26"/>
      <c r="H987" s="25"/>
      <c r="I987" s="15"/>
    </row>
    <row r="988">
      <c r="A988" s="6"/>
      <c r="B988" s="6"/>
      <c r="C988" s="6"/>
      <c r="D988" s="21"/>
      <c r="E988" s="22"/>
      <c r="F988" s="22"/>
      <c r="G988" s="23"/>
      <c r="H988" s="22"/>
      <c r="I988" s="10"/>
    </row>
    <row r="989">
      <c r="A989" s="11"/>
      <c r="B989" s="11"/>
      <c r="C989" s="11"/>
      <c r="D989" s="24"/>
      <c r="E989" s="25"/>
      <c r="F989" s="25"/>
      <c r="G989" s="26"/>
      <c r="H989" s="25"/>
      <c r="I989" s="15"/>
    </row>
    <row r="990">
      <c r="A990" s="6"/>
      <c r="B990" s="6"/>
      <c r="C990" s="6"/>
      <c r="D990" s="21"/>
      <c r="E990" s="22"/>
      <c r="F990" s="22"/>
      <c r="G990" s="23"/>
      <c r="H990" s="22"/>
      <c r="I990" s="10"/>
    </row>
    <row r="991">
      <c r="A991" s="11"/>
      <c r="B991" s="11"/>
      <c r="C991" s="11"/>
      <c r="D991" s="24"/>
      <c r="E991" s="25"/>
      <c r="F991" s="25"/>
      <c r="G991" s="26"/>
      <c r="H991" s="25"/>
      <c r="I991" s="15"/>
    </row>
    <row r="992">
      <c r="A992" s="6"/>
      <c r="B992" s="6"/>
      <c r="C992" s="6"/>
      <c r="D992" s="21"/>
      <c r="E992" s="22"/>
      <c r="F992" s="22"/>
      <c r="G992" s="23"/>
      <c r="H992" s="22"/>
      <c r="I992" s="10"/>
    </row>
    <row r="993">
      <c r="A993" s="11"/>
      <c r="B993" s="11"/>
      <c r="C993" s="11"/>
      <c r="D993" s="24"/>
      <c r="E993" s="25"/>
      <c r="F993" s="25"/>
      <c r="G993" s="26"/>
      <c r="H993" s="25"/>
      <c r="I993" s="15"/>
    </row>
    <row r="994">
      <c r="A994" s="6"/>
      <c r="B994" s="6"/>
      <c r="C994" s="6"/>
      <c r="D994" s="21"/>
      <c r="E994" s="22"/>
      <c r="F994" s="22"/>
      <c r="G994" s="23"/>
      <c r="H994" s="22"/>
      <c r="I994" s="10"/>
    </row>
    <row r="995">
      <c r="A995" s="11"/>
      <c r="B995" s="11"/>
      <c r="C995" s="11"/>
      <c r="D995" s="24"/>
      <c r="E995" s="25"/>
      <c r="F995" s="25"/>
      <c r="G995" s="26"/>
      <c r="H995" s="25"/>
      <c r="I995" s="15"/>
    </row>
    <row r="996">
      <c r="A996" s="6"/>
      <c r="B996" s="6"/>
      <c r="C996" s="6"/>
      <c r="D996" s="21"/>
      <c r="E996" s="22"/>
      <c r="F996" s="22"/>
      <c r="G996" s="23"/>
      <c r="H996" s="22"/>
      <c r="I996" s="10"/>
    </row>
    <row r="997">
      <c r="A997" s="11"/>
      <c r="B997" s="11"/>
      <c r="C997" s="11"/>
      <c r="D997" s="24"/>
      <c r="E997" s="25"/>
      <c r="F997" s="25"/>
      <c r="G997" s="26"/>
      <c r="H997" s="25"/>
      <c r="I997" s="15"/>
    </row>
    <row r="998">
      <c r="A998" s="6"/>
      <c r="B998" s="6"/>
      <c r="C998" s="6"/>
      <c r="D998" s="21"/>
      <c r="E998" s="22"/>
      <c r="F998" s="22"/>
      <c r="G998" s="23"/>
      <c r="H998" s="22"/>
      <c r="I998" s="10"/>
    </row>
    <row r="999">
      <c r="A999" s="11"/>
      <c r="B999" s="11"/>
      <c r="C999" s="11"/>
      <c r="D999" s="24"/>
      <c r="E999" s="25"/>
      <c r="F999" s="25"/>
      <c r="G999" s="26"/>
      <c r="H999" s="25"/>
      <c r="I999" s="15"/>
    </row>
    <row r="1000">
      <c r="A1000" s="6"/>
      <c r="B1000" s="6"/>
      <c r="C1000" s="6"/>
      <c r="D1000" s="21"/>
      <c r="E1000" s="22"/>
      <c r="F1000" s="22"/>
      <c r="G1000" s="23"/>
      <c r="H1000" s="22"/>
      <c r="I1000" s="10"/>
    </row>
  </sheetData>
  <autoFilter ref="$A$1:$H$15"/>
  <dataValidations>
    <dataValidation type="list" allowBlank="1" showErrorMessage="1" sqref="B2:B1000">
      <formula1>"David,Gema,Enric"</formula1>
    </dataValidation>
    <dataValidation type="list" allowBlank="1" showErrorMessage="1" sqref="A2:A1000">
      <formula1>"630 849 333,673 304 063,647 760 222"</formula1>
    </dataValidation>
    <dataValidation type="list" allowBlank="1" showErrorMessage="1" sqref="C2:C1000">
      <formula1>"Incidencia,Consulta"</formula1>
    </dataValidation>
  </dataValidations>
  <hyperlinks>
    <hyperlink r:id="rId1" location="gid=0" ref="E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30.0"/>
    <col customWidth="1" min="3" max="3" width="23.63"/>
    <col customWidth="1" min="4" max="4" width="85.0"/>
    <col customWidth="1" min="5" max="6" width="40.25"/>
    <col customWidth="1" min="7" max="7" width="37.13"/>
    <col customWidth="1" min="8" max="8" width="107.75"/>
  </cols>
  <sheetData>
    <row r="1">
      <c r="A1" s="1" t="s">
        <v>0</v>
      </c>
      <c r="B1" s="1" t="s">
        <v>108</v>
      </c>
      <c r="C1" s="2" t="s">
        <v>2</v>
      </c>
      <c r="D1" s="2" t="s">
        <v>109</v>
      </c>
      <c r="E1" s="1" t="s">
        <v>110</v>
      </c>
      <c r="F1" s="1" t="s">
        <v>111</v>
      </c>
      <c r="G1" s="1" t="s">
        <v>112</v>
      </c>
      <c r="H1" s="1" t="s">
        <v>113</v>
      </c>
      <c r="I1" s="5"/>
      <c r="J1" s="5"/>
      <c r="K1" s="5"/>
      <c r="L1" s="5"/>
      <c r="M1" s="5"/>
      <c r="N1" s="5"/>
      <c r="O1" s="5"/>
      <c r="P1" s="5"/>
      <c r="Q1" s="5"/>
      <c r="R1" s="5"/>
      <c r="S1" s="5"/>
      <c r="T1" s="5"/>
      <c r="U1" s="5"/>
      <c r="V1" s="5"/>
      <c r="W1" s="5"/>
      <c r="X1" s="5"/>
      <c r="Y1" s="5"/>
      <c r="Z1" s="5"/>
    </row>
    <row r="2">
      <c r="A2" s="6">
        <v>3.467350605E10</v>
      </c>
      <c r="B2" s="6" t="s">
        <v>114</v>
      </c>
      <c r="C2" s="6" t="s">
        <v>30</v>
      </c>
      <c r="D2" s="7" t="s">
        <v>115</v>
      </c>
      <c r="E2" s="27" t="s">
        <v>116</v>
      </c>
      <c r="F2" s="27" t="s">
        <v>116</v>
      </c>
      <c r="G2" s="27" t="s">
        <v>117</v>
      </c>
      <c r="H2" s="7" t="s">
        <v>118</v>
      </c>
    </row>
    <row r="3">
      <c r="A3" s="11">
        <v>3.4611579954E10</v>
      </c>
      <c r="B3" s="11" t="s">
        <v>119</v>
      </c>
      <c r="C3" s="11" t="s">
        <v>30</v>
      </c>
      <c r="D3" s="12" t="s">
        <v>120</v>
      </c>
      <c r="E3" s="28" t="s">
        <v>116</v>
      </c>
      <c r="F3" s="28" t="s">
        <v>116</v>
      </c>
      <c r="G3" s="28" t="s">
        <v>117</v>
      </c>
      <c r="H3" s="12" t="s">
        <v>121</v>
      </c>
    </row>
    <row r="4">
      <c r="A4" s="6">
        <v>3.3619518584E10</v>
      </c>
      <c r="B4" s="6" t="s">
        <v>122</v>
      </c>
      <c r="C4" s="6" t="s">
        <v>30</v>
      </c>
      <c r="D4" s="7" t="s">
        <v>123</v>
      </c>
      <c r="E4" s="27" t="s">
        <v>116</v>
      </c>
      <c r="F4" s="27" t="s">
        <v>116</v>
      </c>
      <c r="G4" s="27" t="s">
        <v>124</v>
      </c>
      <c r="H4" s="7"/>
    </row>
    <row r="5">
      <c r="A5" s="11">
        <v>3.466226624E10</v>
      </c>
      <c r="B5" s="11" t="s">
        <v>125</v>
      </c>
      <c r="C5" s="11" t="s">
        <v>30</v>
      </c>
      <c r="D5" s="12" t="s">
        <v>126</v>
      </c>
      <c r="E5" s="28" t="s">
        <v>116</v>
      </c>
      <c r="F5" s="28" t="s">
        <v>116</v>
      </c>
      <c r="G5" s="28" t="s">
        <v>117</v>
      </c>
      <c r="H5" s="12" t="s">
        <v>127</v>
      </c>
    </row>
    <row r="6">
      <c r="A6" s="6">
        <v>3.4695600242E10</v>
      </c>
      <c r="B6" s="6" t="s">
        <v>128</v>
      </c>
      <c r="C6" s="6" t="s">
        <v>10</v>
      </c>
      <c r="D6" s="7" t="s">
        <v>129</v>
      </c>
      <c r="E6" s="27" t="s">
        <v>130</v>
      </c>
      <c r="F6" s="27" t="s">
        <v>130</v>
      </c>
      <c r="G6" s="27" t="s">
        <v>124</v>
      </c>
      <c r="H6" s="7" t="s">
        <v>131</v>
      </c>
    </row>
    <row r="7">
      <c r="A7" s="11">
        <v>3.4674739192E10</v>
      </c>
      <c r="B7" s="11" t="s">
        <v>132</v>
      </c>
      <c r="C7" s="11" t="s">
        <v>10</v>
      </c>
      <c r="D7" s="12" t="s">
        <v>133</v>
      </c>
      <c r="E7" s="28" t="s">
        <v>116</v>
      </c>
      <c r="F7" s="28" t="s">
        <v>116</v>
      </c>
      <c r="G7" s="28" t="s">
        <v>117</v>
      </c>
      <c r="H7" s="12" t="s">
        <v>134</v>
      </c>
    </row>
    <row r="8">
      <c r="A8" s="6">
        <v>3.93488844329E11</v>
      </c>
      <c r="B8" s="6" t="s">
        <v>135</v>
      </c>
      <c r="C8" s="6" t="s">
        <v>10</v>
      </c>
      <c r="D8" s="7" t="s">
        <v>136</v>
      </c>
      <c r="E8" s="27" t="s">
        <v>130</v>
      </c>
      <c r="F8" s="27" t="s">
        <v>130</v>
      </c>
      <c r="G8" s="27" t="s">
        <v>117</v>
      </c>
      <c r="H8" s="7" t="s">
        <v>137</v>
      </c>
    </row>
    <row r="9">
      <c r="A9" s="11">
        <v>3.4672049775E10</v>
      </c>
      <c r="B9" s="11" t="s">
        <v>138</v>
      </c>
      <c r="C9" s="11" t="s">
        <v>30</v>
      </c>
      <c r="D9" s="12" t="s">
        <v>139</v>
      </c>
      <c r="E9" s="28" t="s">
        <v>116</v>
      </c>
      <c r="F9" s="28" t="s">
        <v>116</v>
      </c>
      <c r="G9" s="28" t="s">
        <v>124</v>
      </c>
      <c r="H9" s="12"/>
    </row>
    <row r="10">
      <c r="A10" s="6">
        <v>3.4679007769E10</v>
      </c>
      <c r="B10" s="6" t="s">
        <v>140</v>
      </c>
      <c r="C10" s="6" t="s">
        <v>30</v>
      </c>
      <c r="D10" s="7" t="s">
        <v>141</v>
      </c>
      <c r="E10" s="27" t="s">
        <v>116</v>
      </c>
      <c r="F10" s="27" t="s">
        <v>116</v>
      </c>
      <c r="G10" s="27" t="s">
        <v>124</v>
      </c>
      <c r="H10" s="7" t="s">
        <v>142</v>
      </c>
    </row>
    <row r="11">
      <c r="A11" s="11">
        <v>3.4699470701E10</v>
      </c>
      <c r="B11" s="11" t="s">
        <v>143</v>
      </c>
      <c r="C11" s="11" t="s">
        <v>30</v>
      </c>
      <c r="D11" s="12" t="s">
        <v>144</v>
      </c>
      <c r="E11" s="28" t="s">
        <v>116</v>
      </c>
      <c r="F11" s="28" t="s">
        <v>116</v>
      </c>
      <c r="G11" s="28" t="s">
        <v>117</v>
      </c>
      <c r="H11" s="12" t="s">
        <v>145</v>
      </c>
    </row>
    <row r="12">
      <c r="A12" s="6">
        <v>9.05416393494E11</v>
      </c>
      <c r="B12" s="6" t="s">
        <v>146</v>
      </c>
      <c r="C12" s="6" t="s">
        <v>30</v>
      </c>
      <c r="D12" s="7" t="s">
        <v>147</v>
      </c>
      <c r="E12" s="27" t="s">
        <v>116</v>
      </c>
      <c r="F12" s="27" t="s">
        <v>116</v>
      </c>
      <c r="G12" s="27" t="s">
        <v>117</v>
      </c>
      <c r="H12" s="7" t="s">
        <v>148</v>
      </c>
    </row>
    <row r="13">
      <c r="A13" s="11">
        <v>3.4672049775E10</v>
      </c>
      <c r="B13" s="11" t="s">
        <v>149</v>
      </c>
      <c r="C13" s="11" t="s">
        <v>30</v>
      </c>
      <c r="D13" s="12" t="s">
        <v>150</v>
      </c>
      <c r="E13" s="28" t="s">
        <v>116</v>
      </c>
      <c r="F13" s="28" t="s">
        <v>116</v>
      </c>
      <c r="G13" s="28" t="s">
        <v>117</v>
      </c>
      <c r="H13" s="12" t="s">
        <v>148</v>
      </c>
    </row>
    <row r="14">
      <c r="A14" s="6">
        <v>3.4611579954E10</v>
      </c>
      <c r="B14" s="6" t="s">
        <v>151</v>
      </c>
      <c r="C14" s="6" t="s">
        <v>10</v>
      </c>
      <c r="D14" s="7" t="s">
        <v>152</v>
      </c>
      <c r="E14" s="27" t="s">
        <v>116</v>
      </c>
      <c r="F14" s="27" t="s">
        <v>116</v>
      </c>
      <c r="G14" s="27" t="s">
        <v>117</v>
      </c>
      <c r="H14" s="7" t="s">
        <v>153</v>
      </c>
    </row>
    <row r="15">
      <c r="A15" s="11">
        <v>3.4646855091E10</v>
      </c>
      <c r="B15" s="11" t="s">
        <v>154</v>
      </c>
      <c r="C15" s="11" t="s">
        <v>30</v>
      </c>
      <c r="D15" s="12" t="s">
        <v>155</v>
      </c>
      <c r="E15" s="28" t="s">
        <v>116</v>
      </c>
      <c r="F15" s="28" t="s">
        <v>116</v>
      </c>
      <c r="G15" s="28" t="s">
        <v>117</v>
      </c>
      <c r="H15" s="12" t="s">
        <v>156</v>
      </c>
    </row>
    <row r="16">
      <c r="A16" s="6">
        <v>3.4667360241E10</v>
      </c>
      <c r="B16" s="6" t="s">
        <v>157</v>
      </c>
      <c r="C16" s="6" t="s">
        <v>30</v>
      </c>
      <c r="D16" s="7" t="s">
        <v>158</v>
      </c>
      <c r="E16" s="27" t="s">
        <v>116</v>
      </c>
      <c r="F16" s="27" t="s">
        <v>116</v>
      </c>
      <c r="G16" s="27" t="s">
        <v>159</v>
      </c>
      <c r="H16" s="7" t="s">
        <v>160</v>
      </c>
    </row>
    <row r="17">
      <c r="A17" s="11">
        <v>3.466226624E10</v>
      </c>
      <c r="B17" s="11" t="s">
        <v>161</v>
      </c>
      <c r="C17" s="11" t="s">
        <v>30</v>
      </c>
      <c r="D17" s="12" t="s">
        <v>162</v>
      </c>
      <c r="E17" s="28" t="s">
        <v>116</v>
      </c>
      <c r="F17" s="28" t="s">
        <v>116</v>
      </c>
      <c r="G17" s="28" t="s">
        <v>124</v>
      </c>
      <c r="H17" s="29"/>
    </row>
    <row r="18">
      <c r="A18" s="6">
        <v>3.4614439256E10</v>
      </c>
      <c r="B18" s="6" t="s">
        <v>163</v>
      </c>
      <c r="C18" s="6" t="s">
        <v>30</v>
      </c>
      <c r="D18" s="17" t="s">
        <v>164</v>
      </c>
      <c r="E18" s="27" t="s">
        <v>130</v>
      </c>
      <c r="F18" s="27" t="s">
        <v>130</v>
      </c>
      <c r="G18" s="27" t="s">
        <v>124</v>
      </c>
      <c r="H18" s="17"/>
      <c r="I18" s="20"/>
      <c r="J18" s="20"/>
      <c r="K18" s="20"/>
      <c r="L18" s="20"/>
      <c r="M18" s="20"/>
      <c r="N18" s="20"/>
      <c r="O18" s="20"/>
      <c r="P18" s="20"/>
      <c r="Q18" s="20"/>
      <c r="R18" s="20"/>
      <c r="S18" s="20"/>
      <c r="T18" s="20"/>
      <c r="U18" s="20"/>
      <c r="V18" s="20"/>
      <c r="W18" s="20"/>
      <c r="X18" s="20"/>
      <c r="Y18" s="20"/>
      <c r="Z18" s="20"/>
    </row>
    <row r="19">
      <c r="A19" s="11">
        <v>3.4607961232E10</v>
      </c>
      <c r="B19" s="11" t="s">
        <v>165</v>
      </c>
      <c r="C19" s="11" t="s">
        <v>30</v>
      </c>
      <c r="D19" s="12" t="s">
        <v>166</v>
      </c>
      <c r="E19" s="28" t="s">
        <v>130</v>
      </c>
      <c r="F19" s="28" t="s">
        <v>130</v>
      </c>
      <c r="G19" s="28" t="s">
        <v>124</v>
      </c>
      <c r="H19" s="12"/>
    </row>
    <row r="20">
      <c r="A20" s="6">
        <v>5.73003897007E11</v>
      </c>
      <c r="B20" s="6" t="s">
        <v>167</v>
      </c>
      <c r="C20" s="6" t="s">
        <v>30</v>
      </c>
      <c r="D20" s="7" t="s">
        <v>168</v>
      </c>
      <c r="E20" s="27" t="s">
        <v>116</v>
      </c>
      <c r="F20" s="27" t="s">
        <v>116</v>
      </c>
      <c r="G20" s="27" t="s">
        <v>117</v>
      </c>
      <c r="H20" s="7" t="s">
        <v>169</v>
      </c>
    </row>
    <row r="21">
      <c r="A21" s="11">
        <v>5.73148615672E11</v>
      </c>
      <c r="B21" s="11" t="s">
        <v>170</v>
      </c>
      <c r="C21" s="11" t="s">
        <v>10</v>
      </c>
      <c r="D21" s="12" t="s">
        <v>171</v>
      </c>
      <c r="E21" s="28" t="s">
        <v>130</v>
      </c>
      <c r="F21" s="28" t="s">
        <v>130</v>
      </c>
      <c r="G21" s="28" t="s">
        <v>124</v>
      </c>
      <c r="H21" s="12"/>
    </row>
    <row r="22">
      <c r="A22" s="6">
        <v>3.4652739299E10</v>
      </c>
      <c r="B22" s="6" t="s">
        <v>172</v>
      </c>
      <c r="C22" s="6" t="s">
        <v>30</v>
      </c>
      <c r="D22" s="7" t="s">
        <v>173</v>
      </c>
      <c r="E22" s="27" t="s">
        <v>116</v>
      </c>
      <c r="F22" s="27" t="s">
        <v>116</v>
      </c>
      <c r="G22" s="27" t="s">
        <v>117</v>
      </c>
      <c r="H22" s="7" t="s">
        <v>174</v>
      </c>
    </row>
    <row r="23">
      <c r="A23" s="11">
        <v>3.4609152656E10</v>
      </c>
      <c r="B23" s="11" t="s">
        <v>175</v>
      </c>
      <c r="C23" s="11" t="s">
        <v>30</v>
      </c>
      <c r="D23" s="12" t="s">
        <v>176</v>
      </c>
      <c r="E23" s="28" t="s">
        <v>116</v>
      </c>
      <c r="F23" s="28" t="s">
        <v>116</v>
      </c>
      <c r="G23" s="28" t="s">
        <v>159</v>
      </c>
      <c r="H23" s="12" t="s">
        <v>177</v>
      </c>
    </row>
    <row r="24">
      <c r="A24" s="6">
        <v>3.4662917448E10</v>
      </c>
      <c r="B24" s="6" t="s">
        <v>178</v>
      </c>
      <c r="C24" s="6" t="s">
        <v>10</v>
      </c>
      <c r="D24" s="7" t="s">
        <v>179</v>
      </c>
      <c r="E24" s="27" t="s">
        <v>130</v>
      </c>
      <c r="F24" s="27" t="s">
        <v>130</v>
      </c>
      <c r="G24" s="27" t="s">
        <v>117</v>
      </c>
      <c r="H24" s="7" t="s">
        <v>180</v>
      </c>
    </row>
    <row r="25">
      <c r="A25" s="11">
        <v>3.4659845211E10</v>
      </c>
      <c r="B25" s="11" t="s">
        <v>181</v>
      </c>
      <c r="C25" s="11"/>
      <c r="D25" s="12" t="s">
        <v>182</v>
      </c>
      <c r="E25" s="28" t="s">
        <v>116</v>
      </c>
      <c r="F25" s="28" t="s">
        <v>116</v>
      </c>
      <c r="G25" s="28" t="s">
        <v>117</v>
      </c>
      <c r="H25" s="12" t="s">
        <v>183</v>
      </c>
    </row>
    <row r="26">
      <c r="A26" s="6">
        <v>3.460507423E10</v>
      </c>
      <c r="B26" s="6" t="s">
        <v>184</v>
      </c>
      <c r="C26" s="6" t="s">
        <v>30</v>
      </c>
      <c r="D26" s="7" t="s">
        <v>185</v>
      </c>
      <c r="E26" s="7"/>
      <c r="F26" s="7"/>
      <c r="G26" s="7"/>
      <c r="H26" s="7"/>
    </row>
    <row r="27">
      <c r="A27" s="11">
        <v>3.4616397458E10</v>
      </c>
      <c r="B27" s="11" t="s">
        <v>186</v>
      </c>
      <c r="C27" s="11" t="s">
        <v>30</v>
      </c>
      <c r="D27" s="12" t="s">
        <v>187</v>
      </c>
      <c r="E27" s="28" t="s">
        <v>116</v>
      </c>
      <c r="F27" s="28" t="s">
        <v>116</v>
      </c>
      <c r="G27" s="28" t="s">
        <v>159</v>
      </c>
      <c r="H27" s="12" t="s">
        <v>188</v>
      </c>
    </row>
    <row r="28">
      <c r="A28" s="6">
        <v>3.4636171756E10</v>
      </c>
      <c r="B28" s="6" t="s">
        <v>189</v>
      </c>
      <c r="C28" s="6" t="s">
        <v>10</v>
      </c>
      <c r="D28" s="7" t="s">
        <v>190</v>
      </c>
      <c r="E28" s="27" t="s">
        <v>130</v>
      </c>
      <c r="F28" s="27" t="s">
        <v>130</v>
      </c>
      <c r="G28" s="27" t="s">
        <v>124</v>
      </c>
      <c r="H28" s="7"/>
    </row>
    <row r="29">
      <c r="A29" s="11">
        <v>3.4619070138E10</v>
      </c>
      <c r="B29" s="11" t="s">
        <v>191</v>
      </c>
      <c r="C29" s="11" t="s">
        <v>30</v>
      </c>
      <c r="D29" s="12" t="s">
        <v>192</v>
      </c>
      <c r="E29" s="28" t="s">
        <v>116</v>
      </c>
      <c r="F29" s="28" t="s">
        <v>116</v>
      </c>
      <c r="G29" s="28" t="s">
        <v>117</v>
      </c>
      <c r="H29" s="30" t="s">
        <v>193</v>
      </c>
    </row>
    <row r="30">
      <c r="A30" s="6">
        <v>3.4628758372E10</v>
      </c>
      <c r="B30" s="6" t="s">
        <v>194</v>
      </c>
      <c r="C30" s="6" t="s">
        <v>10</v>
      </c>
      <c r="D30" s="7" t="s">
        <v>195</v>
      </c>
      <c r="E30" s="27" t="s">
        <v>130</v>
      </c>
      <c r="F30" s="27" t="s">
        <v>130</v>
      </c>
      <c r="G30" s="27" t="s">
        <v>124</v>
      </c>
      <c r="H30" s="31"/>
    </row>
    <row r="31">
      <c r="A31" s="11">
        <v>3.4697982334E10</v>
      </c>
      <c r="B31" s="11" t="s">
        <v>196</v>
      </c>
      <c r="C31" s="11" t="s">
        <v>30</v>
      </c>
      <c r="D31" s="12" t="s">
        <v>197</v>
      </c>
      <c r="E31" s="25"/>
      <c r="F31" s="25"/>
      <c r="G31" s="28" t="s">
        <v>159</v>
      </c>
      <c r="H31" s="30" t="s">
        <v>198</v>
      </c>
    </row>
    <row r="32">
      <c r="A32" s="6">
        <v>3.4637654019E10</v>
      </c>
      <c r="B32" s="6" t="s">
        <v>199</v>
      </c>
      <c r="C32" s="6" t="s">
        <v>30</v>
      </c>
      <c r="D32" s="7" t="s">
        <v>200</v>
      </c>
      <c r="E32" s="27" t="s">
        <v>116</v>
      </c>
      <c r="F32" s="27" t="s">
        <v>116</v>
      </c>
      <c r="G32" s="27" t="s">
        <v>124</v>
      </c>
      <c r="H32" s="22"/>
    </row>
    <row r="33">
      <c r="A33" s="11"/>
      <c r="B33" s="12"/>
      <c r="C33" s="11"/>
      <c r="D33" s="12"/>
      <c r="E33" s="25"/>
      <c r="F33" s="25"/>
      <c r="G33" s="25"/>
      <c r="H33" s="25"/>
    </row>
    <row r="34">
      <c r="A34" s="6"/>
      <c r="B34" s="7"/>
      <c r="C34" s="6"/>
      <c r="D34" s="7"/>
      <c r="E34" s="22"/>
      <c r="F34" s="22"/>
      <c r="G34" s="22"/>
      <c r="H34" s="22"/>
    </row>
    <row r="35">
      <c r="A35" s="11"/>
      <c r="B35" s="12"/>
      <c r="C35" s="11"/>
      <c r="D35" s="12"/>
      <c r="E35" s="25"/>
      <c r="F35" s="25"/>
      <c r="G35" s="25"/>
      <c r="H35" s="25"/>
    </row>
    <row r="36">
      <c r="A36" s="6"/>
      <c r="B36" s="7"/>
      <c r="C36" s="6"/>
      <c r="D36" s="7"/>
      <c r="E36" s="22"/>
      <c r="F36" s="22"/>
      <c r="G36" s="22"/>
      <c r="H36" s="22"/>
    </row>
    <row r="37">
      <c r="A37" s="11"/>
      <c r="B37" s="12"/>
      <c r="C37" s="11"/>
      <c r="D37" s="12"/>
      <c r="E37" s="25"/>
      <c r="F37" s="25"/>
      <c r="G37" s="25"/>
      <c r="H37" s="25"/>
    </row>
    <row r="38">
      <c r="A38" s="6"/>
      <c r="B38" s="7"/>
      <c r="C38" s="6"/>
      <c r="D38" s="7"/>
      <c r="E38" s="22"/>
      <c r="F38" s="22"/>
      <c r="G38" s="22"/>
      <c r="H38" s="22"/>
    </row>
    <row r="39">
      <c r="A39" s="11"/>
      <c r="B39" s="12"/>
      <c r="C39" s="11"/>
      <c r="D39" s="12"/>
      <c r="E39" s="25"/>
      <c r="F39" s="25"/>
      <c r="G39" s="25"/>
      <c r="H39" s="25"/>
    </row>
    <row r="40">
      <c r="A40" s="6"/>
      <c r="B40" s="7"/>
      <c r="C40" s="6"/>
      <c r="D40" s="7"/>
      <c r="E40" s="22"/>
      <c r="F40" s="22"/>
      <c r="G40" s="22"/>
      <c r="H40" s="22"/>
    </row>
    <row r="41">
      <c r="A41" s="11"/>
      <c r="B41" s="12"/>
      <c r="C41" s="11"/>
      <c r="D41" s="12"/>
      <c r="E41" s="25"/>
      <c r="F41" s="25"/>
      <c r="G41" s="25"/>
      <c r="H41" s="25"/>
    </row>
    <row r="42">
      <c r="A42" s="6"/>
      <c r="B42" s="7"/>
      <c r="C42" s="6"/>
      <c r="D42" s="7"/>
      <c r="E42" s="22"/>
      <c r="F42" s="22"/>
      <c r="G42" s="22"/>
      <c r="H42" s="22"/>
    </row>
    <row r="43">
      <c r="A43" s="11"/>
      <c r="B43" s="12"/>
      <c r="C43" s="11"/>
      <c r="D43" s="24"/>
      <c r="E43" s="25"/>
      <c r="F43" s="25"/>
      <c r="G43" s="25"/>
      <c r="H43" s="25"/>
    </row>
    <row r="44">
      <c r="A44" s="6"/>
      <c r="B44" s="7"/>
      <c r="C44" s="6"/>
      <c r="D44" s="21"/>
      <c r="E44" s="22"/>
      <c r="F44" s="22"/>
      <c r="G44" s="22"/>
      <c r="H44" s="22"/>
    </row>
    <row r="45">
      <c r="A45" s="11"/>
      <c r="B45" s="12"/>
      <c r="C45" s="11"/>
      <c r="D45" s="24"/>
      <c r="E45" s="25"/>
      <c r="F45" s="25"/>
      <c r="G45" s="25"/>
      <c r="H45" s="25"/>
    </row>
    <row r="46">
      <c r="A46" s="6"/>
      <c r="B46" s="7"/>
      <c r="C46" s="6"/>
      <c r="D46" s="21"/>
      <c r="E46" s="22"/>
      <c r="F46" s="22"/>
      <c r="G46" s="22"/>
      <c r="H46" s="22"/>
    </row>
    <row r="47">
      <c r="A47" s="11"/>
      <c r="B47" s="12"/>
      <c r="C47" s="11"/>
      <c r="D47" s="24"/>
      <c r="E47" s="25"/>
      <c r="F47" s="25"/>
      <c r="G47" s="25"/>
      <c r="H47" s="25"/>
    </row>
    <row r="48">
      <c r="A48" s="6"/>
      <c r="B48" s="7"/>
      <c r="C48" s="6"/>
      <c r="D48" s="21"/>
      <c r="E48" s="22"/>
      <c r="F48" s="22"/>
      <c r="G48" s="22"/>
      <c r="H48" s="22"/>
    </row>
    <row r="49">
      <c r="A49" s="11"/>
      <c r="B49" s="12"/>
      <c r="C49" s="11"/>
      <c r="D49" s="24"/>
      <c r="E49" s="25"/>
      <c r="F49" s="25"/>
      <c r="G49" s="25"/>
      <c r="H49" s="25"/>
    </row>
    <row r="50">
      <c r="A50" s="6"/>
      <c r="B50" s="7"/>
      <c r="C50" s="6"/>
      <c r="D50" s="21"/>
      <c r="E50" s="22"/>
      <c r="F50" s="22"/>
      <c r="G50" s="22"/>
      <c r="H50" s="22"/>
    </row>
    <row r="51">
      <c r="A51" s="11"/>
      <c r="B51" s="12"/>
      <c r="C51" s="11"/>
      <c r="D51" s="24"/>
      <c r="E51" s="25"/>
      <c r="F51" s="25"/>
      <c r="G51" s="25"/>
      <c r="H51" s="25"/>
    </row>
    <row r="52">
      <c r="A52" s="6"/>
      <c r="B52" s="7"/>
      <c r="C52" s="6"/>
      <c r="D52" s="21"/>
      <c r="E52" s="22"/>
      <c r="F52" s="22"/>
      <c r="G52" s="22"/>
      <c r="H52" s="22"/>
    </row>
    <row r="53">
      <c r="A53" s="11"/>
      <c r="B53" s="12"/>
      <c r="C53" s="11"/>
      <c r="D53" s="24"/>
      <c r="E53" s="25"/>
      <c r="F53" s="25"/>
      <c r="G53" s="25"/>
      <c r="H53" s="25"/>
    </row>
    <row r="54">
      <c r="A54" s="6"/>
      <c r="B54" s="7"/>
      <c r="C54" s="6"/>
      <c r="D54" s="21"/>
      <c r="E54" s="22"/>
      <c r="F54" s="22"/>
      <c r="G54" s="22"/>
      <c r="H54" s="22"/>
    </row>
    <row r="55">
      <c r="A55" s="11"/>
      <c r="B55" s="12"/>
      <c r="C55" s="11"/>
      <c r="D55" s="24"/>
      <c r="E55" s="25"/>
      <c r="F55" s="25"/>
      <c r="G55" s="25"/>
      <c r="H55" s="25"/>
    </row>
    <row r="56">
      <c r="A56" s="6"/>
      <c r="B56" s="7"/>
      <c r="C56" s="6"/>
      <c r="D56" s="21"/>
      <c r="E56" s="22"/>
      <c r="F56" s="22"/>
      <c r="G56" s="22"/>
      <c r="H56" s="22"/>
    </row>
    <row r="57">
      <c r="A57" s="11"/>
      <c r="B57" s="12"/>
      <c r="C57" s="11"/>
      <c r="D57" s="24"/>
      <c r="E57" s="25"/>
      <c r="F57" s="25"/>
      <c r="G57" s="25"/>
      <c r="H57" s="25"/>
    </row>
    <row r="58">
      <c r="A58" s="6"/>
      <c r="B58" s="7"/>
      <c r="C58" s="6"/>
      <c r="D58" s="21"/>
      <c r="E58" s="22"/>
      <c r="F58" s="22"/>
      <c r="G58" s="22"/>
      <c r="H58" s="22"/>
    </row>
    <row r="59">
      <c r="A59" s="11"/>
      <c r="B59" s="12"/>
      <c r="C59" s="11"/>
      <c r="D59" s="24"/>
      <c r="E59" s="25"/>
      <c r="F59" s="25"/>
      <c r="G59" s="25"/>
      <c r="H59" s="25"/>
    </row>
    <row r="60">
      <c r="A60" s="6"/>
      <c r="B60" s="7"/>
      <c r="C60" s="6"/>
      <c r="D60" s="21"/>
      <c r="E60" s="22"/>
      <c r="F60" s="22"/>
      <c r="G60" s="22"/>
      <c r="H60" s="22"/>
    </row>
    <row r="61">
      <c r="A61" s="11"/>
      <c r="B61" s="12"/>
      <c r="C61" s="11"/>
      <c r="D61" s="24"/>
      <c r="E61" s="25"/>
      <c r="F61" s="25"/>
      <c r="G61" s="25"/>
      <c r="H61" s="25"/>
    </row>
    <row r="62">
      <c r="A62" s="6"/>
      <c r="B62" s="7"/>
      <c r="C62" s="6"/>
      <c r="D62" s="21"/>
      <c r="E62" s="22"/>
      <c r="F62" s="22"/>
      <c r="G62" s="22"/>
      <c r="H62" s="22"/>
    </row>
    <row r="63">
      <c r="A63" s="11"/>
      <c r="B63" s="12"/>
      <c r="C63" s="11"/>
      <c r="D63" s="24"/>
      <c r="E63" s="25"/>
      <c r="F63" s="25"/>
      <c r="G63" s="25"/>
      <c r="H63" s="25"/>
    </row>
    <row r="64">
      <c r="A64" s="6"/>
      <c r="B64" s="7"/>
      <c r="C64" s="6"/>
      <c r="D64" s="21"/>
      <c r="E64" s="22"/>
      <c r="F64" s="22"/>
      <c r="G64" s="22"/>
      <c r="H64" s="22"/>
    </row>
    <row r="65">
      <c r="A65" s="11"/>
      <c r="B65" s="12"/>
      <c r="C65" s="11"/>
      <c r="D65" s="24"/>
      <c r="E65" s="25"/>
      <c r="F65" s="25"/>
      <c r="G65" s="25"/>
      <c r="H65" s="25"/>
    </row>
    <row r="66">
      <c r="A66" s="6"/>
      <c r="B66" s="7"/>
      <c r="C66" s="6"/>
      <c r="D66" s="21"/>
      <c r="E66" s="22"/>
      <c r="F66" s="22"/>
      <c r="G66" s="22"/>
      <c r="H66" s="22"/>
    </row>
    <row r="67">
      <c r="A67" s="11"/>
      <c r="B67" s="12"/>
      <c r="C67" s="11"/>
      <c r="D67" s="24"/>
      <c r="E67" s="25"/>
      <c r="F67" s="25"/>
      <c r="G67" s="25"/>
      <c r="H67" s="25"/>
    </row>
    <row r="68">
      <c r="A68" s="6"/>
      <c r="B68" s="7"/>
      <c r="C68" s="6"/>
      <c r="D68" s="21"/>
      <c r="E68" s="22"/>
      <c r="F68" s="22"/>
      <c r="G68" s="22"/>
      <c r="H68" s="22"/>
    </row>
    <row r="69">
      <c r="A69" s="11"/>
      <c r="B69" s="12"/>
      <c r="C69" s="11"/>
      <c r="D69" s="24"/>
      <c r="E69" s="25"/>
      <c r="F69" s="25"/>
      <c r="G69" s="25"/>
      <c r="H69" s="25"/>
    </row>
    <row r="70">
      <c r="A70" s="6"/>
      <c r="B70" s="7"/>
      <c r="C70" s="6"/>
      <c r="D70" s="21"/>
      <c r="E70" s="22"/>
      <c r="F70" s="22"/>
      <c r="G70" s="22"/>
      <c r="H70" s="22"/>
    </row>
    <row r="71">
      <c r="A71" s="11"/>
      <c r="B71" s="12"/>
      <c r="C71" s="11"/>
      <c r="D71" s="24"/>
      <c r="E71" s="25"/>
      <c r="F71" s="25"/>
      <c r="G71" s="25"/>
      <c r="H71" s="25"/>
    </row>
    <row r="72">
      <c r="A72" s="6"/>
      <c r="B72" s="7"/>
      <c r="C72" s="6"/>
      <c r="D72" s="21"/>
      <c r="E72" s="22"/>
      <c r="F72" s="22"/>
      <c r="G72" s="22"/>
      <c r="H72" s="22"/>
    </row>
    <row r="73">
      <c r="A73" s="11"/>
      <c r="B73" s="12"/>
      <c r="C73" s="11"/>
      <c r="D73" s="24"/>
      <c r="E73" s="25"/>
      <c r="F73" s="25"/>
      <c r="G73" s="25"/>
      <c r="H73" s="25"/>
    </row>
    <row r="74">
      <c r="A74" s="6"/>
      <c r="B74" s="7"/>
      <c r="C74" s="6"/>
      <c r="D74" s="21"/>
      <c r="E74" s="22"/>
      <c r="F74" s="22"/>
      <c r="G74" s="22"/>
      <c r="H74" s="22"/>
    </row>
    <row r="75">
      <c r="A75" s="11"/>
      <c r="B75" s="12"/>
      <c r="C75" s="11"/>
      <c r="D75" s="24"/>
      <c r="E75" s="25"/>
      <c r="F75" s="25"/>
      <c r="G75" s="25"/>
      <c r="H75" s="25"/>
    </row>
    <row r="76">
      <c r="A76" s="6"/>
      <c r="B76" s="7"/>
      <c r="C76" s="6"/>
      <c r="D76" s="21"/>
      <c r="E76" s="22"/>
      <c r="F76" s="22"/>
      <c r="G76" s="22"/>
      <c r="H76" s="22"/>
    </row>
    <row r="77">
      <c r="A77" s="11"/>
      <c r="B77" s="12"/>
      <c r="C77" s="11"/>
      <c r="D77" s="24"/>
      <c r="E77" s="25"/>
      <c r="F77" s="25"/>
      <c r="G77" s="25"/>
      <c r="H77" s="25"/>
    </row>
    <row r="78">
      <c r="A78" s="6"/>
      <c r="B78" s="7"/>
      <c r="C78" s="6"/>
      <c r="D78" s="21"/>
      <c r="E78" s="22"/>
      <c r="F78" s="22"/>
      <c r="G78" s="22"/>
      <c r="H78" s="22"/>
    </row>
    <row r="79">
      <c r="A79" s="11"/>
      <c r="B79" s="12"/>
      <c r="C79" s="11"/>
      <c r="D79" s="24"/>
      <c r="E79" s="25"/>
      <c r="F79" s="25"/>
      <c r="G79" s="25"/>
      <c r="H79" s="25"/>
    </row>
    <row r="80">
      <c r="A80" s="6"/>
      <c r="B80" s="7"/>
      <c r="C80" s="6"/>
      <c r="D80" s="21"/>
      <c r="E80" s="22"/>
      <c r="F80" s="22"/>
      <c r="G80" s="22"/>
      <c r="H80" s="22"/>
    </row>
    <row r="81">
      <c r="A81" s="11"/>
      <c r="B81" s="12"/>
      <c r="C81" s="11"/>
      <c r="D81" s="24"/>
      <c r="E81" s="25"/>
      <c r="F81" s="25"/>
      <c r="G81" s="25"/>
      <c r="H81" s="25"/>
    </row>
    <row r="82">
      <c r="A82" s="6"/>
      <c r="B82" s="7"/>
      <c r="C82" s="6"/>
      <c r="D82" s="21"/>
      <c r="E82" s="22"/>
      <c r="F82" s="22"/>
      <c r="G82" s="22"/>
      <c r="H82" s="22"/>
    </row>
    <row r="83">
      <c r="A83" s="11"/>
      <c r="B83" s="12"/>
      <c r="C83" s="11"/>
      <c r="D83" s="24"/>
      <c r="E83" s="25"/>
      <c r="F83" s="25"/>
      <c r="G83" s="25"/>
      <c r="H83" s="25"/>
    </row>
    <row r="84">
      <c r="A84" s="6"/>
      <c r="B84" s="7"/>
      <c r="C84" s="6"/>
      <c r="D84" s="21"/>
      <c r="E84" s="22"/>
      <c r="F84" s="22"/>
      <c r="G84" s="22"/>
      <c r="H84" s="22"/>
    </row>
    <row r="85">
      <c r="A85" s="11"/>
      <c r="B85" s="12"/>
      <c r="C85" s="11"/>
      <c r="D85" s="24"/>
      <c r="E85" s="25"/>
      <c r="F85" s="25"/>
      <c r="G85" s="25"/>
      <c r="H85" s="25"/>
    </row>
    <row r="86">
      <c r="A86" s="6"/>
      <c r="B86" s="7"/>
      <c r="C86" s="6"/>
      <c r="D86" s="21"/>
      <c r="E86" s="22"/>
      <c r="F86" s="22"/>
      <c r="G86" s="22"/>
      <c r="H86" s="22"/>
    </row>
    <row r="87">
      <c r="A87" s="11"/>
      <c r="B87" s="12"/>
      <c r="C87" s="11"/>
      <c r="D87" s="24"/>
      <c r="E87" s="25"/>
      <c r="F87" s="25"/>
      <c r="G87" s="25"/>
      <c r="H87" s="25"/>
    </row>
    <row r="88">
      <c r="A88" s="6"/>
      <c r="B88" s="7"/>
      <c r="C88" s="6"/>
      <c r="D88" s="21"/>
      <c r="E88" s="22"/>
      <c r="F88" s="22"/>
      <c r="G88" s="22"/>
      <c r="H88" s="22"/>
    </row>
    <row r="89">
      <c r="A89" s="11"/>
      <c r="B89" s="12"/>
      <c r="C89" s="11"/>
      <c r="D89" s="24"/>
      <c r="E89" s="25"/>
      <c r="F89" s="25"/>
      <c r="G89" s="25"/>
      <c r="H89" s="25"/>
    </row>
    <row r="90">
      <c r="A90" s="6"/>
      <c r="B90" s="7"/>
      <c r="C90" s="6"/>
      <c r="D90" s="21"/>
      <c r="E90" s="22"/>
      <c r="F90" s="22"/>
      <c r="G90" s="22"/>
      <c r="H90" s="22"/>
    </row>
    <row r="91">
      <c r="A91" s="11"/>
      <c r="B91" s="12"/>
      <c r="C91" s="11"/>
      <c r="D91" s="24"/>
      <c r="E91" s="25"/>
      <c r="F91" s="25"/>
      <c r="G91" s="25"/>
      <c r="H91" s="25"/>
    </row>
    <row r="92">
      <c r="A92" s="6"/>
      <c r="B92" s="7"/>
      <c r="C92" s="6"/>
      <c r="D92" s="21"/>
      <c r="E92" s="22"/>
      <c r="F92" s="22"/>
      <c r="G92" s="22"/>
      <c r="H92" s="22"/>
    </row>
    <row r="93">
      <c r="A93" s="11"/>
      <c r="B93" s="12"/>
      <c r="C93" s="11"/>
      <c r="D93" s="24"/>
      <c r="E93" s="25"/>
      <c r="F93" s="25"/>
      <c r="G93" s="25"/>
      <c r="H93" s="25"/>
    </row>
    <row r="94">
      <c r="A94" s="6"/>
      <c r="B94" s="7"/>
      <c r="C94" s="6"/>
      <c r="D94" s="21"/>
      <c r="E94" s="22"/>
      <c r="F94" s="22"/>
      <c r="G94" s="22"/>
      <c r="H94" s="22"/>
    </row>
    <row r="95">
      <c r="A95" s="11"/>
      <c r="B95" s="12"/>
      <c r="C95" s="11"/>
      <c r="D95" s="24"/>
      <c r="E95" s="25"/>
      <c r="F95" s="25"/>
      <c r="G95" s="25"/>
      <c r="H95" s="25"/>
    </row>
    <row r="96">
      <c r="A96" s="6"/>
      <c r="B96" s="7"/>
      <c r="C96" s="6"/>
      <c r="D96" s="21"/>
      <c r="E96" s="22"/>
      <c r="F96" s="22"/>
      <c r="G96" s="22"/>
      <c r="H96" s="22"/>
    </row>
    <row r="97">
      <c r="A97" s="11"/>
      <c r="B97" s="12"/>
      <c r="C97" s="11"/>
      <c r="D97" s="24"/>
      <c r="E97" s="25"/>
      <c r="F97" s="25"/>
      <c r="G97" s="25"/>
      <c r="H97" s="25"/>
    </row>
    <row r="98">
      <c r="A98" s="6"/>
      <c r="B98" s="7"/>
      <c r="C98" s="6"/>
      <c r="D98" s="21"/>
      <c r="E98" s="22"/>
      <c r="F98" s="22"/>
      <c r="G98" s="22"/>
      <c r="H98" s="22"/>
    </row>
    <row r="99">
      <c r="A99" s="11"/>
      <c r="B99" s="12"/>
      <c r="C99" s="11"/>
      <c r="D99" s="24"/>
      <c r="E99" s="25"/>
      <c r="F99" s="25"/>
      <c r="G99" s="25"/>
      <c r="H99" s="25"/>
    </row>
    <row r="100">
      <c r="A100" s="6"/>
      <c r="B100" s="7"/>
      <c r="C100" s="6"/>
      <c r="D100" s="21"/>
      <c r="E100" s="22"/>
      <c r="F100" s="22"/>
      <c r="G100" s="22"/>
      <c r="H100" s="22"/>
    </row>
    <row r="101">
      <c r="A101" s="11"/>
      <c r="B101" s="12"/>
      <c r="C101" s="11"/>
      <c r="D101" s="24"/>
      <c r="E101" s="25"/>
      <c r="F101" s="25"/>
      <c r="G101" s="25"/>
      <c r="H101" s="25"/>
    </row>
    <row r="102">
      <c r="A102" s="6"/>
      <c r="B102" s="7"/>
      <c r="C102" s="6"/>
      <c r="D102" s="21"/>
      <c r="E102" s="22"/>
      <c r="F102" s="22"/>
      <c r="G102" s="22"/>
      <c r="H102" s="22"/>
    </row>
    <row r="103">
      <c r="A103" s="11"/>
      <c r="B103" s="12"/>
      <c r="C103" s="11"/>
      <c r="D103" s="24"/>
      <c r="E103" s="25"/>
      <c r="F103" s="25"/>
      <c r="G103" s="25"/>
      <c r="H103" s="25"/>
    </row>
    <row r="104">
      <c r="A104" s="6"/>
      <c r="B104" s="7"/>
      <c r="C104" s="6"/>
      <c r="D104" s="21"/>
      <c r="E104" s="22"/>
      <c r="F104" s="22"/>
      <c r="G104" s="22"/>
      <c r="H104" s="22"/>
    </row>
    <row r="105">
      <c r="A105" s="11"/>
      <c r="B105" s="12"/>
      <c r="C105" s="11"/>
      <c r="D105" s="24"/>
      <c r="E105" s="25"/>
      <c r="F105" s="25"/>
      <c r="G105" s="25"/>
      <c r="H105" s="25"/>
    </row>
    <row r="106">
      <c r="A106" s="6"/>
      <c r="B106" s="7"/>
      <c r="C106" s="6"/>
      <c r="D106" s="21"/>
      <c r="E106" s="22"/>
      <c r="F106" s="22"/>
      <c r="G106" s="22"/>
      <c r="H106" s="22"/>
    </row>
    <row r="107">
      <c r="A107" s="11"/>
      <c r="B107" s="12"/>
      <c r="C107" s="11"/>
      <c r="D107" s="24"/>
      <c r="E107" s="25"/>
      <c r="F107" s="25"/>
      <c r="G107" s="25"/>
      <c r="H107" s="25"/>
    </row>
    <row r="108">
      <c r="A108" s="6"/>
      <c r="B108" s="7"/>
      <c r="C108" s="6"/>
      <c r="D108" s="21"/>
      <c r="E108" s="22"/>
      <c r="F108" s="22"/>
      <c r="G108" s="22"/>
      <c r="H108" s="22"/>
    </row>
    <row r="109">
      <c r="A109" s="11"/>
      <c r="B109" s="12"/>
      <c r="C109" s="11"/>
      <c r="D109" s="24"/>
      <c r="E109" s="25"/>
      <c r="F109" s="25"/>
      <c r="G109" s="25"/>
      <c r="H109" s="25"/>
    </row>
    <row r="110">
      <c r="A110" s="6"/>
      <c r="B110" s="7"/>
      <c r="C110" s="6"/>
      <c r="D110" s="21"/>
      <c r="E110" s="22"/>
      <c r="F110" s="22"/>
      <c r="G110" s="22"/>
      <c r="H110" s="22"/>
    </row>
    <row r="111">
      <c r="A111" s="11"/>
      <c r="B111" s="12"/>
      <c r="C111" s="11"/>
      <c r="D111" s="24"/>
      <c r="E111" s="25"/>
      <c r="F111" s="25"/>
      <c r="G111" s="25"/>
      <c r="H111" s="25"/>
    </row>
    <row r="112">
      <c r="A112" s="6"/>
      <c r="B112" s="7"/>
      <c r="C112" s="6"/>
      <c r="D112" s="21"/>
      <c r="E112" s="22"/>
      <c r="F112" s="22"/>
      <c r="G112" s="22"/>
      <c r="H112" s="22"/>
    </row>
    <row r="113">
      <c r="A113" s="11"/>
      <c r="B113" s="12"/>
      <c r="C113" s="11"/>
      <c r="D113" s="24"/>
      <c r="E113" s="25"/>
      <c r="F113" s="25"/>
      <c r="G113" s="25"/>
      <c r="H113" s="25"/>
    </row>
    <row r="114">
      <c r="A114" s="6"/>
      <c r="B114" s="7"/>
      <c r="C114" s="6"/>
      <c r="D114" s="21"/>
      <c r="E114" s="22"/>
      <c r="F114" s="22"/>
      <c r="G114" s="22"/>
      <c r="H114" s="22"/>
    </row>
    <row r="115">
      <c r="A115" s="11"/>
      <c r="B115" s="12"/>
      <c r="C115" s="11"/>
      <c r="D115" s="24"/>
      <c r="E115" s="25"/>
      <c r="F115" s="25"/>
      <c r="G115" s="25"/>
      <c r="H115" s="25"/>
    </row>
    <row r="116">
      <c r="A116" s="6"/>
      <c r="B116" s="7"/>
      <c r="C116" s="6"/>
      <c r="D116" s="21"/>
      <c r="E116" s="22"/>
      <c r="F116" s="22"/>
      <c r="G116" s="22"/>
      <c r="H116" s="22"/>
    </row>
    <row r="117">
      <c r="A117" s="11"/>
      <c r="B117" s="12"/>
      <c r="C117" s="11"/>
      <c r="D117" s="24"/>
      <c r="E117" s="25"/>
      <c r="F117" s="25"/>
      <c r="G117" s="25"/>
      <c r="H117" s="25"/>
    </row>
    <row r="118">
      <c r="A118" s="6"/>
      <c r="B118" s="7"/>
      <c r="C118" s="6"/>
      <c r="D118" s="21"/>
      <c r="E118" s="22"/>
      <c r="F118" s="22"/>
      <c r="G118" s="22"/>
      <c r="H118" s="22"/>
    </row>
    <row r="119">
      <c r="A119" s="11"/>
      <c r="B119" s="12"/>
      <c r="C119" s="11"/>
      <c r="D119" s="24"/>
      <c r="E119" s="25"/>
      <c r="F119" s="25"/>
      <c r="G119" s="25"/>
      <c r="H119" s="25"/>
    </row>
    <row r="120">
      <c r="A120" s="6"/>
      <c r="B120" s="7"/>
      <c r="C120" s="6"/>
      <c r="D120" s="21"/>
      <c r="E120" s="22"/>
      <c r="F120" s="22"/>
      <c r="G120" s="22"/>
      <c r="H120" s="22"/>
    </row>
    <row r="121">
      <c r="A121" s="11"/>
      <c r="B121" s="12"/>
      <c r="C121" s="11"/>
      <c r="D121" s="24"/>
      <c r="E121" s="25"/>
      <c r="F121" s="25"/>
      <c r="G121" s="25"/>
      <c r="H121" s="25"/>
    </row>
    <row r="122">
      <c r="A122" s="6"/>
      <c r="B122" s="7"/>
      <c r="C122" s="6"/>
      <c r="D122" s="21"/>
      <c r="E122" s="22"/>
      <c r="F122" s="22"/>
      <c r="G122" s="22"/>
      <c r="H122" s="22"/>
    </row>
    <row r="123">
      <c r="A123" s="11"/>
      <c r="B123" s="12"/>
      <c r="C123" s="11"/>
      <c r="D123" s="24"/>
      <c r="E123" s="25"/>
      <c r="F123" s="25"/>
      <c r="G123" s="25"/>
      <c r="H123" s="25"/>
    </row>
    <row r="124">
      <c r="A124" s="6"/>
      <c r="B124" s="7"/>
      <c r="C124" s="6"/>
      <c r="D124" s="21"/>
      <c r="E124" s="22"/>
      <c r="F124" s="22"/>
      <c r="G124" s="22"/>
      <c r="H124" s="22"/>
    </row>
    <row r="125">
      <c r="A125" s="11"/>
      <c r="B125" s="12"/>
      <c r="C125" s="11"/>
      <c r="D125" s="24"/>
      <c r="E125" s="25"/>
      <c r="F125" s="25"/>
      <c r="G125" s="25"/>
      <c r="H125" s="25"/>
    </row>
    <row r="126">
      <c r="A126" s="6"/>
      <c r="B126" s="7"/>
      <c r="C126" s="6"/>
      <c r="D126" s="21"/>
      <c r="E126" s="22"/>
      <c r="F126" s="22"/>
      <c r="G126" s="22"/>
      <c r="H126" s="22"/>
    </row>
    <row r="127">
      <c r="A127" s="11"/>
      <c r="B127" s="12"/>
      <c r="C127" s="11"/>
      <c r="D127" s="24"/>
      <c r="E127" s="25"/>
      <c r="F127" s="25"/>
      <c r="G127" s="25"/>
      <c r="H127" s="25"/>
    </row>
    <row r="128">
      <c r="A128" s="6"/>
      <c r="B128" s="7"/>
      <c r="C128" s="6"/>
      <c r="D128" s="21"/>
      <c r="E128" s="22"/>
      <c r="F128" s="22"/>
      <c r="G128" s="22"/>
      <c r="H128" s="22"/>
    </row>
    <row r="129">
      <c r="A129" s="11"/>
      <c r="B129" s="12"/>
      <c r="C129" s="11"/>
      <c r="D129" s="24"/>
      <c r="E129" s="25"/>
      <c r="F129" s="25"/>
      <c r="G129" s="25"/>
      <c r="H129" s="25"/>
    </row>
    <row r="130">
      <c r="A130" s="6"/>
      <c r="B130" s="7"/>
      <c r="C130" s="6"/>
      <c r="D130" s="21"/>
      <c r="E130" s="22"/>
      <c r="F130" s="22"/>
      <c r="G130" s="22"/>
      <c r="H130" s="22"/>
    </row>
    <row r="131">
      <c r="A131" s="11"/>
      <c r="B131" s="12"/>
      <c r="C131" s="11"/>
      <c r="D131" s="24"/>
      <c r="E131" s="25"/>
      <c r="F131" s="25"/>
      <c r="G131" s="25"/>
      <c r="H131" s="25"/>
    </row>
    <row r="132">
      <c r="A132" s="6"/>
      <c r="B132" s="7"/>
      <c r="C132" s="6"/>
      <c r="D132" s="21"/>
      <c r="E132" s="22"/>
      <c r="F132" s="22"/>
      <c r="G132" s="22"/>
      <c r="H132" s="22"/>
    </row>
    <row r="133">
      <c r="A133" s="11"/>
      <c r="B133" s="12"/>
      <c r="C133" s="11"/>
      <c r="D133" s="24"/>
      <c r="E133" s="25"/>
      <c r="F133" s="25"/>
      <c r="G133" s="25"/>
      <c r="H133" s="25"/>
    </row>
    <row r="134">
      <c r="A134" s="6"/>
      <c r="B134" s="7"/>
      <c r="C134" s="6"/>
      <c r="D134" s="21"/>
      <c r="E134" s="22"/>
      <c r="F134" s="22"/>
      <c r="G134" s="22"/>
      <c r="H134" s="22"/>
    </row>
    <row r="135">
      <c r="A135" s="11"/>
      <c r="B135" s="12"/>
      <c r="C135" s="11"/>
      <c r="D135" s="24"/>
      <c r="E135" s="25"/>
      <c r="F135" s="25"/>
      <c r="G135" s="25"/>
      <c r="H135" s="25"/>
    </row>
    <row r="136">
      <c r="A136" s="6"/>
      <c r="B136" s="7"/>
      <c r="C136" s="6"/>
      <c r="D136" s="21"/>
      <c r="E136" s="22"/>
      <c r="F136" s="22"/>
      <c r="G136" s="22"/>
      <c r="H136" s="22"/>
    </row>
    <row r="137">
      <c r="A137" s="11"/>
      <c r="B137" s="12"/>
      <c r="C137" s="11"/>
      <c r="D137" s="24"/>
      <c r="E137" s="25"/>
      <c r="F137" s="25"/>
      <c r="G137" s="25"/>
      <c r="H137" s="25"/>
    </row>
    <row r="138">
      <c r="A138" s="6"/>
      <c r="B138" s="7"/>
      <c r="C138" s="6"/>
      <c r="D138" s="21"/>
      <c r="E138" s="22"/>
      <c r="F138" s="22"/>
      <c r="G138" s="22"/>
      <c r="H138" s="22"/>
    </row>
    <row r="139">
      <c r="A139" s="11"/>
      <c r="B139" s="12"/>
      <c r="C139" s="11"/>
      <c r="D139" s="24"/>
      <c r="E139" s="25"/>
      <c r="F139" s="25"/>
      <c r="G139" s="25"/>
      <c r="H139" s="25"/>
    </row>
    <row r="140">
      <c r="A140" s="6"/>
      <c r="B140" s="7"/>
      <c r="C140" s="6"/>
      <c r="D140" s="21"/>
      <c r="E140" s="22"/>
      <c r="F140" s="22"/>
      <c r="G140" s="22"/>
      <c r="H140" s="22"/>
    </row>
    <row r="141">
      <c r="A141" s="11"/>
      <c r="B141" s="12"/>
      <c r="C141" s="11"/>
      <c r="D141" s="24"/>
      <c r="E141" s="25"/>
      <c r="F141" s="25"/>
      <c r="G141" s="25"/>
      <c r="H141" s="25"/>
    </row>
    <row r="142">
      <c r="A142" s="6"/>
      <c r="B142" s="7"/>
      <c r="C142" s="6"/>
      <c r="D142" s="21"/>
      <c r="E142" s="22"/>
      <c r="F142" s="22"/>
      <c r="G142" s="22"/>
      <c r="H142" s="22"/>
    </row>
    <row r="143">
      <c r="A143" s="11"/>
      <c r="B143" s="12"/>
      <c r="C143" s="11"/>
      <c r="D143" s="24"/>
      <c r="E143" s="25"/>
      <c r="F143" s="25"/>
      <c r="G143" s="25"/>
      <c r="H143" s="25"/>
    </row>
    <row r="144">
      <c r="A144" s="6"/>
      <c r="B144" s="7"/>
      <c r="C144" s="6"/>
      <c r="D144" s="21"/>
      <c r="E144" s="22"/>
      <c r="F144" s="22"/>
      <c r="G144" s="22"/>
      <c r="H144" s="22"/>
    </row>
    <row r="145">
      <c r="A145" s="11"/>
      <c r="B145" s="12"/>
      <c r="C145" s="11"/>
      <c r="D145" s="24"/>
      <c r="E145" s="25"/>
      <c r="F145" s="25"/>
      <c r="G145" s="25"/>
      <c r="H145" s="25"/>
    </row>
    <row r="146">
      <c r="A146" s="6"/>
      <c r="B146" s="7"/>
      <c r="C146" s="6"/>
      <c r="D146" s="21"/>
      <c r="E146" s="22"/>
      <c r="F146" s="22"/>
      <c r="G146" s="22"/>
      <c r="H146" s="22"/>
    </row>
    <row r="147">
      <c r="A147" s="11"/>
      <c r="B147" s="12"/>
      <c r="C147" s="11"/>
      <c r="D147" s="24"/>
      <c r="E147" s="25"/>
      <c r="F147" s="25"/>
      <c r="G147" s="25"/>
      <c r="H147" s="25"/>
    </row>
    <row r="148">
      <c r="A148" s="6"/>
      <c r="B148" s="7"/>
      <c r="C148" s="6"/>
      <c r="D148" s="21"/>
      <c r="E148" s="22"/>
      <c r="F148" s="22"/>
      <c r="G148" s="22"/>
      <c r="H148" s="22"/>
    </row>
    <row r="149">
      <c r="A149" s="11"/>
      <c r="B149" s="12"/>
      <c r="C149" s="11"/>
      <c r="D149" s="24"/>
      <c r="E149" s="25"/>
      <c r="F149" s="25"/>
      <c r="G149" s="25"/>
      <c r="H149" s="25"/>
    </row>
    <row r="150">
      <c r="A150" s="6"/>
      <c r="B150" s="7"/>
      <c r="C150" s="6"/>
      <c r="D150" s="21"/>
      <c r="E150" s="22"/>
      <c r="F150" s="22"/>
      <c r="G150" s="22"/>
      <c r="H150" s="22"/>
    </row>
    <row r="151">
      <c r="A151" s="11"/>
      <c r="B151" s="12"/>
      <c r="C151" s="11"/>
      <c r="D151" s="24"/>
      <c r="E151" s="25"/>
      <c r="F151" s="25"/>
      <c r="G151" s="25"/>
      <c r="H151" s="25"/>
    </row>
    <row r="152">
      <c r="A152" s="6"/>
      <c r="B152" s="7"/>
      <c r="C152" s="6"/>
      <c r="D152" s="21"/>
      <c r="E152" s="22"/>
      <c r="F152" s="22"/>
      <c r="G152" s="22"/>
      <c r="H152" s="22"/>
    </row>
    <row r="153">
      <c r="A153" s="11"/>
      <c r="B153" s="12"/>
      <c r="C153" s="11"/>
      <c r="D153" s="24"/>
      <c r="E153" s="25"/>
      <c r="F153" s="25"/>
      <c r="G153" s="25"/>
      <c r="H153" s="25"/>
    </row>
    <row r="154">
      <c r="A154" s="6"/>
      <c r="B154" s="7"/>
      <c r="C154" s="6"/>
      <c r="D154" s="21"/>
      <c r="E154" s="22"/>
      <c r="F154" s="22"/>
      <c r="G154" s="22"/>
      <c r="H154" s="22"/>
    </row>
    <row r="155">
      <c r="A155" s="11"/>
      <c r="B155" s="12"/>
      <c r="C155" s="11"/>
      <c r="D155" s="24"/>
      <c r="E155" s="25"/>
      <c r="F155" s="25"/>
      <c r="G155" s="25"/>
      <c r="H155" s="25"/>
    </row>
    <row r="156">
      <c r="A156" s="6"/>
      <c r="B156" s="7"/>
      <c r="C156" s="6"/>
      <c r="D156" s="21"/>
      <c r="E156" s="22"/>
      <c r="F156" s="22"/>
      <c r="G156" s="22"/>
      <c r="H156" s="22"/>
    </row>
    <row r="157">
      <c r="A157" s="11"/>
      <c r="B157" s="12"/>
      <c r="C157" s="11"/>
      <c r="D157" s="24"/>
      <c r="E157" s="25"/>
      <c r="F157" s="25"/>
      <c r="G157" s="25"/>
      <c r="H157" s="25"/>
    </row>
    <row r="158">
      <c r="A158" s="6"/>
      <c r="B158" s="7"/>
      <c r="C158" s="6"/>
      <c r="D158" s="21"/>
      <c r="E158" s="22"/>
      <c r="F158" s="22"/>
      <c r="G158" s="22"/>
      <c r="H158" s="22"/>
    </row>
    <row r="159">
      <c r="A159" s="11"/>
      <c r="B159" s="12"/>
      <c r="C159" s="11"/>
      <c r="D159" s="24"/>
      <c r="E159" s="25"/>
      <c r="F159" s="25"/>
      <c r="G159" s="25"/>
      <c r="H159" s="25"/>
    </row>
    <row r="160">
      <c r="A160" s="6"/>
      <c r="B160" s="7"/>
      <c r="C160" s="6"/>
      <c r="D160" s="21"/>
      <c r="E160" s="22"/>
      <c r="F160" s="22"/>
      <c r="G160" s="22"/>
      <c r="H160" s="22"/>
    </row>
    <row r="161">
      <c r="A161" s="11"/>
      <c r="B161" s="12"/>
      <c r="C161" s="11"/>
      <c r="D161" s="24"/>
      <c r="E161" s="25"/>
      <c r="F161" s="25"/>
      <c r="G161" s="25"/>
      <c r="H161" s="25"/>
    </row>
    <row r="162">
      <c r="A162" s="6"/>
      <c r="B162" s="7"/>
      <c r="C162" s="6"/>
      <c r="D162" s="21"/>
      <c r="E162" s="22"/>
      <c r="F162" s="22"/>
      <c r="G162" s="22"/>
      <c r="H162" s="22"/>
    </row>
    <row r="163">
      <c r="A163" s="11"/>
      <c r="B163" s="12"/>
      <c r="C163" s="11"/>
      <c r="D163" s="24"/>
      <c r="E163" s="25"/>
      <c r="F163" s="25"/>
      <c r="G163" s="25"/>
      <c r="H163" s="25"/>
    </row>
    <row r="164">
      <c r="A164" s="6"/>
      <c r="B164" s="7"/>
      <c r="C164" s="6"/>
      <c r="D164" s="21"/>
      <c r="E164" s="22"/>
      <c r="F164" s="22"/>
      <c r="G164" s="22"/>
      <c r="H164" s="22"/>
    </row>
    <row r="165">
      <c r="A165" s="11"/>
      <c r="B165" s="12"/>
      <c r="C165" s="11"/>
      <c r="D165" s="24"/>
      <c r="E165" s="25"/>
      <c r="F165" s="25"/>
      <c r="G165" s="25"/>
      <c r="H165" s="25"/>
    </row>
    <row r="166">
      <c r="A166" s="6"/>
      <c r="B166" s="7"/>
      <c r="C166" s="6"/>
      <c r="D166" s="21"/>
      <c r="E166" s="22"/>
      <c r="F166" s="22"/>
      <c r="G166" s="22"/>
      <c r="H166" s="22"/>
    </row>
    <row r="167">
      <c r="A167" s="11"/>
      <c r="B167" s="12"/>
      <c r="C167" s="11"/>
      <c r="D167" s="24"/>
      <c r="E167" s="25"/>
      <c r="F167" s="25"/>
      <c r="G167" s="25"/>
      <c r="H167" s="25"/>
    </row>
    <row r="168">
      <c r="A168" s="6"/>
      <c r="B168" s="7"/>
      <c r="C168" s="6"/>
      <c r="D168" s="21"/>
      <c r="E168" s="22"/>
      <c r="F168" s="22"/>
      <c r="G168" s="22"/>
      <c r="H168" s="22"/>
    </row>
    <row r="169">
      <c r="A169" s="11"/>
      <c r="B169" s="12"/>
      <c r="C169" s="11"/>
      <c r="D169" s="24"/>
      <c r="E169" s="25"/>
      <c r="F169" s="25"/>
      <c r="G169" s="25"/>
      <c r="H169" s="25"/>
    </row>
    <row r="170">
      <c r="A170" s="6"/>
      <c r="B170" s="7"/>
      <c r="C170" s="6"/>
      <c r="D170" s="21"/>
      <c r="E170" s="22"/>
      <c r="F170" s="22"/>
      <c r="G170" s="22"/>
      <c r="H170" s="22"/>
    </row>
    <row r="171">
      <c r="A171" s="11"/>
      <c r="B171" s="12"/>
      <c r="C171" s="11"/>
      <c r="D171" s="24"/>
      <c r="E171" s="25"/>
      <c r="F171" s="25"/>
      <c r="G171" s="25"/>
      <c r="H171" s="25"/>
    </row>
    <row r="172">
      <c r="A172" s="6"/>
      <c r="B172" s="7"/>
      <c r="C172" s="6"/>
      <c r="D172" s="21"/>
      <c r="E172" s="22"/>
      <c r="F172" s="22"/>
      <c r="G172" s="22"/>
      <c r="H172" s="22"/>
    </row>
    <row r="173">
      <c r="A173" s="11"/>
      <c r="B173" s="12"/>
      <c r="C173" s="11"/>
      <c r="D173" s="24"/>
      <c r="E173" s="25"/>
      <c r="F173" s="25"/>
      <c r="G173" s="25"/>
      <c r="H173" s="25"/>
    </row>
    <row r="174">
      <c r="A174" s="6"/>
      <c r="B174" s="7"/>
      <c r="C174" s="6"/>
      <c r="D174" s="21"/>
      <c r="E174" s="22"/>
      <c r="F174" s="22"/>
      <c r="G174" s="22"/>
      <c r="H174" s="22"/>
    </row>
    <row r="175">
      <c r="A175" s="11"/>
      <c r="B175" s="12"/>
      <c r="C175" s="11"/>
      <c r="D175" s="24"/>
      <c r="E175" s="25"/>
      <c r="F175" s="25"/>
      <c r="G175" s="25"/>
      <c r="H175" s="25"/>
    </row>
    <row r="176">
      <c r="A176" s="6"/>
      <c r="B176" s="7"/>
      <c r="C176" s="6"/>
      <c r="D176" s="21"/>
      <c r="E176" s="22"/>
      <c r="F176" s="22"/>
      <c r="G176" s="22"/>
      <c r="H176" s="22"/>
    </row>
    <row r="177">
      <c r="A177" s="11"/>
      <c r="B177" s="12"/>
      <c r="C177" s="11"/>
      <c r="D177" s="24"/>
      <c r="E177" s="25"/>
      <c r="F177" s="25"/>
      <c r="G177" s="25"/>
      <c r="H177" s="25"/>
    </row>
    <row r="178">
      <c r="A178" s="6"/>
      <c r="B178" s="7"/>
      <c r="C178" s="6"/>
      <c r="D178" s="21"/>
      <c r="E178" s="22"/>
      <c r="F178" s="22"/>
      <c r="G178" s="22"/>
      <c r="H178" s="22"/>
    </row>
    <row r="179">
      <c r="A179" s="11"/>
      <c r="B179" s="12"/>
      <c r="C179" s="11"/>
      <c r="D179" s="24"/>
      <c r="E179" s="25"/>
      <c r="F179" s="25"/>
      <c r="G179" s="25"/>
      <c r="H179" s="25"/>
    </row>
    <row r="180">
      <c r="A180" s="6"/>
      <c r="B180" s="7"/>
      <c r="C180" s="6"/>
      <c r="D180" s="21"/>
      <c r="E180" s="22"/>
      <c r="F180" s="22"/>
      <c r="G180" s="22"/>
      <c r="H180" s="22"/>
    </row>
    <row r="181">
      <c r="A181" s="11"/>
      <c r="B181" s="12"/>
      <c r="C181" s="11"/>
      <c r="D181" s="24"/>
      <c r="E181" s="25"/>
      <c r="F181" s="25"/>
      <c r="G181" s="25"/>
      <c r="H181" s="25"/>
    </row>
    <row r="182">
      <c r="A182" s="6"/>
      <c r="B182" s="7"/>
      <c r="C182" s="6"/>
      <c r="D182" s="21"/>
      <c r="E182" s="22"/>
      <c r="F182" s="22"/>
      <c r="G182" s="22"/>
      <c r="H182" s="22"/>
    </row>
    <row r="183">
      <c r="A183" s="11"/>
      <c r="B183" s="12"/>
      <c r="C183" s="11"/>
      <c r="D183" s="24"/>
      <c r="E183" s="25"/>
      <c r="F183" s="25"/>
      <c r="G183" s="25"/>
      <c r="H183" s="25"/>
    </row>
    <row r="184">
      <c r="A184" s="6"/>
      <c r="B184" s="7"/>
      <c r="C184" s="6"/>
      <c r="D184" s="21"/>
      <c r="E184" s="22"/>
      <c r="F184" s="22"/>
      <c r="G184" s="22"/>
      <c r="H184" s="22"/>
    </row>
    <row r="185">
      <c r="A185" s="11"/>
      <c r="B185" s="12"/>
      <c r="C185" s="11"/>
      <c r="D185" s="24"/>
      <c r="E185" s="25"/>
      <c r="F185" s="25"/>
      <c r="G185" s="25"/>
      <c r="H185" s="25"/>
    </row>
    <row r="186">
      <c r="A186" s="6"/>
      <c r="B186" s="7"/>
      <c r="C186" s="6"/>
      <c r="D186" s="21"/>
      <c r="E186" s="22"/>
      <c r="F186" s="22"/>
      <c r="G186" s="22"/>
      <c r="H186" s="22"/>
    </row>
    <row r="187">
      <c r="A187" s="11"/>
      <c r="B187" s="12"/>
      <c r="C187" s="11"/>
      <c r="D187" s="24"/>
      <c r="E187" s="25"/>
      <c r="F187" s="25"/>
      <c r="G187" s="25"/>
      <c r="H187" s="25"/>
    </row>
    <row r="188">
      <c r="A188" s="6"/>
      <c r="B188" s="7"/>
      <c r="C188" s="6"/>
      <c r="D188" s="21"/>
      <c r="E188" s="22"/>
      <c r="F188" s="22"/>
      <c r="G188" s="22"/>
      <c r="H188" s="22"/>
    </row>
    <row r="189">
      <c r="A189" s="11"/>
      <c r="B189" s="12"/>
      <c r="C189" s="11"/>
      <c r="D189" s="24"/>
      <c r="E189" s="25"/>
      <c r="F189" s="25"/>
      <c r="G189" s="25"/>
      <c r="H189" s="25"/>
    </row>
    <row r="190">
      <c r="A190" s="6"/>
      <c r="B190" s="7"/>
      <c r="C190" s="6"/>
      <c r="D190" s="21"/>
      <c r="E190" s="22"/>
      <c r="F190" s="22"/>
      <c r="G190" s="22"/>
      <c r="H190" s="22"/>
    </row>
    <row r="191">
      <c r="A191" s="11"/>
      <c r="B191" s="12"/>
      <c r="C191" s="11"/>
      <c r="D191" s="24"/>
      <c r="E191" s="25"/>
      <c r="F191" s="25"/>
      <c r="G191" s="25"/>
      <c r="H191" s="25"/>
    </row>
    <row r="192">
      <c r="A192" s="6"/>
      <c r="B192" s="7"/>
      <c r="C192" s="6"/>
      <c r="D192" s="21"/>
      <c r="E192" s="22"/>
      <c r="F192" s="22"/>
      <c r="G192" s="22"/>
      <c r="H192" s="22"/>
    </row>
    <row r="193">
      <c r="A193" s="11"/>
      <c r="B193" s="12"/>
      <c r="C193" s="11"/>
      <c r="D193" s="24"/>
      <c r="E193" s="25"/>
      <c r="F193" s="25"/>
      <c r="G193" s="25"/>
      <c r="H193" s="25"/>
    </row>
    <row r="194">
      <c r="A194" s="6"/>
      <c r="B194" s="7"/>
      <c r="C194" s="6"/>
      <c r="D194" s="21"/>
      <c r="E194" s="22"/>
      <c r="F194" s="22"/>
      <c r="G194" s="22"/>
      <c r="H194" s="22"/>
    </row>
    <row r="195">
      <c r="A195" s="11"/>
      <c r="B195" s="12"/>
      <c r="C195" s="11"/>
      <c r="D195" s="24"/>
      <c r="E195" s="25"/>
      <c r="F195" s="25"/>
      <c r="G195" s="25"/>
      <c r="H195" s="25"/>
    </row>
    <row r="196">
      <c r="A196" s="6"/>
      <c r="B196" s="7"/>
      <c r="C196" s="6"/>
      <c r="D196" s="21"/>
      <c r="E196" s="22"/>
      <c r="F196" s="22"/>
      <c r="G196" s="22"/>
      <c r="H196" s="22"/>
    </row>
    <row r="197">
      <c r="A197" s="11"/>
      <c r="B197" s="12"/>
      <c r="C197" s="11"/>
      <c r="D197" s="24"/>
      <c r="E197" s="25"/>
      <c r="F197" s="25"/>
      <c r="G197" s="25"/>
      <c r="H197" s="25"/>
    </row>
    <row r="198">
      <c r="A198" s="6"/>
      <c r="B198" s="7"/>
      <c r="C198" s="6"/>
      <c r="D198" s="21"/>
      <c r="E198" s="22"/>
      <c r="F198" s="22"/>
      <c r="G198" s="22"/>
      <c r="H198" s="22"/>
    </row>
    <row r="199">
      <c r="A199" s="11"/>
      <c r="B199" s="12"/>
      <c r="C199" s="11"/>
      <c r="D199" s="24"/>
      <c r="E199" s="25"/>
      <c r="F199" s="25"/>
      <c r="G199" s="25"/>
      <c r="H199" s="25"/>
    </row>
    <row r="200">
      <c r="A200" s="6"/>
      <c r="B200" s="7"/>
      <c r="C200" s="6"/>
      <c r="D200" s="21"/>
      <c r="E200" s="22"/>
      <c r="F200" s="22"/>
      <c r="G200" s="22"/>
      <c r="H200" s="22"/>
    </row>
    <row r="201">
      <c r="A201" s="11"/>
      <c r="B201" s="12"/>
      <c r="C201" s="11"/>
      <c r="D201" s="24"/>
      <c r="E201" s="25"/>
      <c r="F201" s="25"/>
      <c r="G201" s="25"/>
      <c r="H201" s="25"/>
    </row>
    <row r="202">
      <c r="A202" s="6"/>
      <c r="B202" s="7"/>
      <c r="C202" s="6"/>
      <c r="D202" s="21"/>
      <c r="E202" s="22"/>
      <c r="F202" s="22"/>
      <c r="G202" s="22"/>
      <c r="H202" s="22"/>
    </row>
    <row r="203">
      <c r="A203" s="11"/>
      <c r="B203" s="12"/>
      <c r="C203" s="11"/>
      <c r="D203" s="24"/>
      <c r="E203" s="25"/>
      <c r="F203" s="25"/>
      <c r="G203" s="25"/>
      <c r="H203" s="25"/>
    </row>
    <row r="204">
      <c r="A204" s="6"/>
      <c r="B204" s="7"/>
      <c r="C204" s="6"/>
      <c r="D204" s="21"/>
      <c r="E204" s="22"/>
      <c r="F204" s="22"/>
      <c r="G204" s="22"/>
      <c r="H204" s="22"/>
    </row>
    <row r="205">
      <c r="A205" s="11"/>
      <c r="B205" s="12"/>
      <c r="C205" s="11"/>
      <c r="D205" s="24"/>
      <c r="E205" s="25"/>
      <c r="F205" s="25"/>
      <c r="G205" s="25"/>
      <c r="H205" s="25"/>
    </row>
    <row r="206">
      <c r="A206" s="6"/>
      <c r="B206" s="7"/>
      <c r="C206" s="6"/>
      <c r="D206" s="21"/>
      <c r="E206" s="22"/>
      <c r="F206" s="22"/>
      <c r="G206" s="22"/>
      <c r="H206" s="22"/>
    </row>
    <row r="207">
      <c r="A207" s="11"/>
      <c r="B207" s="12"/>
      <c r="C207" s="11"/>
      <c r="D207" s="24"/>
      <c r="E207" s="25"/>
      <c r="F207" s="25"/>
      <c r="G207" s="25"/>
      <c r="H207" s="25"/>
    </row>
    <row r="208">
      <c r="A208" s="6"/>
      <c r="B208" s="7"/>
      <c r="C208" s="6"/>
      <c r="D208" s="21"/>
      <c r="E208" s="22"/>
      <c r="F208" s="22"/>
      <c r="G208" s="22"/>
      <c r="H208" s="22"/>
    </row>
    <row r="209">
      <c r="A209" s="11"/>
      <c r="B209" s="12"/>
      <c r="C209" s="11"/>
      <c r="D209" s="24"/>
      <c r="E209" s="25"/>
      <c r="F209" s="25"/>
      <c r="G209" s="25"/>
      <c r="H209" s="25"/>
    </row>
    <row r="210">
      <c r="A210" s="6"/>
      <c r="B210" s="7"/>
      <c r="C210" s="6"/>
      <c r="D210" s="21"/>
      <c r="E210" s="22"/>
      <c r="F210" s="22"/>
      <c r="G210" s="22"/>
      <c r="H210" s="22"/>
    </row>
    <row r="211">
      <c r="A211" s="11"/>
      <c r="B211" s="12"/>
      <c r="C211" s="11"/>
      <c r="D211" s="24"/>
      <c r="E211" s="25"/>
      <c r="F211" s="25"/>
      <c r="G211" s="25"/>
      <c r="H211" s="25"/>
    </row>
    <row r="212">
      <c r="A212" s="6"/>
      <c r="B212" s="7"/>
      <c r="C212" s="6"/>
      <c r="D212" s="21"/>
      <c r="E212" s="22"/>
      <c r="F212" s="22"/>
      <c r="G212" s="22"/>
      <c r="H212" s="22"/>
    </row>
    <row r="213">
      <c r="A213" s="11"/>
      <c r="B213" s="12"/>
      <c r="C213" s="11"/>
      <c r="D213" s="24"/>
      <c r="E213" s="25"/>
      <c r="F213" s="25"/>
      <c r="G213" s="25"/>
      <c r="H213" s="25"/>
    </row>
    <row r="214">
      <c r="A214" s="6"/>
      <c r="B214" s="7"/>
      <c r="C214" s="6"/>
      <c r="D214" s="21"/>
      <c r="E214" s="22"/>
      <c r="F214" s="22"/>
      <c r="G214" s="22"/>
      <c r="H214" s="22"/>
    </row>
    <row r="215">
      <c r="A215" s="11"/>
      <c r="B215" s="12"/>
      <c r="C215" s="11"/>
      <c r="D215" s="24"/>
      <c r="E215" s="25"/>
      <c r="F215" s="25"/>
      <c r="G215" s="25"/>
      <c r="H215" s="25"/>
    </row>
    <row r="216">
      <c r="A216" s="6"/>
      <c r="B216" s="7"/>
      <c r="C216" s="6"/>
      <c r="D216" s="21"/>
      <c r="E216" s="22"/>
      <c r="F216" s="22"/>
      <c r="G216" s="22"/>
      <c r="H216" s="22"/>
    </row>
    <row r="217">
      <c r="A217" s="11"/>
      <c r="B217" s="12"/>
      <c r="C217" s="11"/>
      <c r="D217" s="24"/>
      <c r="E217" s="25"/>
      <c r="F217" s="25"/>
      <c r="G217" s="25"/>
      <c r="H217" s="25"/>
    </row>
    <row r="218">
      <c r="A218" s="6"/>
      <c r="B218" s="7"/>
      <c r="C218" s="6"/>
      <c r="D218" s="21"/>
      <c r="E218" s="22"/>
      <c r="F218" s="22"/>
      <c r="G218" s="22"/>
      <c r="H218" s="22"/>
    </row>
    <row r="219">
      <c r="A219" s="11"/>
      <c r="B219" s="12"/>
      <c r="C219" s="11"/>
      <c r="D219" s="24"/>
      <c r="E219" s="25"/>
      <c r="F219" s="25"/>
      <c r="G219" s="25"/>
      <c r="H219" s="25"/>
    </row>
    <row r="220">
      <c r="A220" s="6"/>
      <c r="B220" s="7"/>
      <c r="C220" s="6"/>
      <c r="D220" s="21"/>
      <c r="E220" s="22"/>
      <c r="F220" s="22"/>
      <c r="G220" s="22"/>
      <c r="H220" s="22"/>
    </row>
    <row r="221">
      <c r="A221" s="11"/>
      <c r="B221" s="12"/>
      <c r="C221" s="11"/>
      <c r="D221" s="24"/>
      <c r="E221" s="25"/>
      <c r="F221" s="25"/>
      <c r="G221" s="25"/>
      <c r="H221" s="25"/>
    </row>
    <row r="222">
      <c r="A222" s="6"/>
      <c r="B222" s="7"/>
      <c r="C222" s="6"/>
      <c r="D222" s="21"/>
      <c r="E222" s="22"/>
      <c r="F222" s="22"/>
      <c r="G222" s="22"/>
      <c r="H222" s="22"/>
    </row>
    <row r="223">
      <c r="A223" s="11"/>
      <c r="B223" s="12"/>
      <c r="C223" s="11"/>
      <c r="D223" s="24"/>
      <c r="E223" s="25"/>
      <c r="F223" s="25"/>
      <c r="G223" s="25"/>
      <c r="H223" s="25"/>
    </row>
    <row r="224">
      <c r="A224" s="6"/>
      <c r="B224" s="7"/>
      <c r="C224" s="6"/>
      <c r="D224" s="21"/>
      <c r="E224" s="22"/>
      <c r="F224" s="22"/>
      <c r="G224" s="22"/>
      <c r="H224" s="22"/>
    </row>
    <row r="225">
      <c r="A225" s="11"/>
      <c r="B225" s="12"/>
      <c r="C225" s="11"/>
      <c r="D225" s="24"/>
      <c r="E225" s="25"/>
      <c r="F225" s="25"/>
      <c r="G225" s="25"/>
      <c r="H225" s="25"/>
    </row>
    <row r="226">
      <c r="A226" s="6"/>
      <c r="B226" s="7"/>
      <c r="C226" s="6"/>
      <c r="D226" s="21"/>
      <c r="E226" s="22"/>
      <c r="F226" s="22"/>
      <c r="G226" s="22"/>
      <c r="H226" s="22"/>
    </row>
    <row r="227">
      <c r="A227" s="11"/>
      <c r="B227" s="12"/>
      <c r="C227" s="11"/>
      <c r="D227" s="24"/>
      <c r="E227" s="25"/>
      <c r="F227" s="25"/>
      <c r="G227" s="25"/>
      <c r="H227" s="25"/>
    </row>
    <row r="228">
      <c r="A228" s="6"/>
      <c r="B228" s="7"/>
      <c r="C228" s="6"/>
      <c r="D228" s="21"/>
      <c r="E228" s="22"/>
      <c r="F228" s="22"/>
      <c r="G228" s="22"/>
      <c r="H228" s="22"/>
    </row>
    <row r="229">
      <c r="A229" s="11"/>
      <c r="B229" s="12"/>
      <c r="C229" s="11"/>
      <c r="D229" s="24"/>
      <c r="E229" s="25"/>
      <c r="F229" s="25"/>
      <c r="G229" s="25"/>
      <c r="H229" s="25"/>
    </row>
    <row r="230">
      <c r="A230" s="6"/>
      <c r="B230" s="7"/>
      <c r="C230" s="6"/>
      <c r="D230" s="21"/>
      <c r="E230" s="22"/>
      <c r="F230" s="22"/>
      <c r="G230" s="22"/>
      <c r="H230" s="22"/>
    </row>
    <row r="231">
      <c r="A231" s="11"/>
      <c r="B231" s="12"/>
      <c r="C231" s="11"/>
      <c r="D231" s="24"/>
      <c r="E231" s="25"/>
      <c r="F231" s="25"/>
      <c r="G231" s="25"/>
      <c r="H231" s="25"/>
    </row>
    <row r="232">
      <c r="A232" s="6"/>
      <c r="B232" s="7"/>
      <c r="C232" s="6"/>
      <c r="D232" s="21"/>
      <c r="E232" s="22"/>
      <c r="F232" s="22"/>
      <c r="G232" s="22"/>
      <c r="H232" s="22"/>
    </row>
    <row r="233">
      <c r="A233" s="11"/>
      <c r="B233" s="12"/>
      <c r="C233" s="11"/>
      <c r="D233" s="24"/>
      <c r="E233" s="25"/>
      <c r="F233" s="25"/>
      <c r="G233" s="25"/>
      <c r="H233" s="25"/>
    </row>
    <row r="234">
      <c r="A234" s="6"/>
      <c r="B234" s="7"/>
      <c r="C234" s="6"/>
      <c r="D234" s="21"/>
      <c r="E234" s="22"/>
      <c r="F234" s="22"/>
      <c r="G234" s="22"/>
      <c r="H234" s="22"/>
    </row>
    <row r="235">
      <c r="A235" s="11"/>
      <c r="B235" s="11"/>
      <c r="C235" s="11"/>
      <c r="D235" s="24"/>
      <c r="E235" s="25"/>
      <c r="F235" s="25"/>
      <c r="G235" s="25"/>
      <c r="H235" s="25"/>
    </row>
    <row r="236">
      <c r="A236" s="6"/>
      <c r="B236" s="6"/>
      <c r="C236" s="6"/>
      <c r="D236" s="21"/>
      <c r="E236" s="22"/>
      <c r="F236" s="22"/>
      <c r="G236" s="22"/>
      <c r="H236" s="22"/>
    </row>
    <row r="237">
      <c r="A237" s="11"/>
      <c r="B237" s="11"/>
      <c r="C237" s="11"/>
      <c r="D237" s="24"/>
      <c r="E237" s="25"/>
      <c r="F237" s="25"/>
      <c r="G237" s="25"/>
      <c r="H237" s="25"/>
    </row>
    <row r="238">
      <c r="A238" s="6"/>
      <c r="B238" s="6"/>
      <c r="C238" s="6"/>
      <c r="D238" s="21"/>
      <c r="E238" s="22"/>
      <c r="F238" s="22"/>
      <c r="G238" s="22"/>
      <c r="H238" s="22"/>
    </row>
    <row r="239">
      <c r="A239" s="11"/>
      <c r="B239" s="11"/>
      <c r="C239" s="11"/>
      <c r="D239" s="24"/>
      <c r="E239" s="25"/>
      <c r="F239" s="25"/>
      <c r="G239" s="25"/>
      <c r="H239" s="25"/>
    </row>
    <row r="240">
      <c r="A240" s="6"/>
      <c r="B240" s="6"/>
      <c r="C240" s="6"/>
      <c r="D240" s="21"/>
      <c r="E240" s="22"/>
      <c r="F240" s="22"/>
      <c r="G240" s="22"/>
      <c r="H240" s="22"/>
    </row>
    <row r="241">
      <c r="A241" s="11"/>
      <c r="B241" s="11"/>
      <c r="C241" s="11"/>
      <c r="D241" s="24"/>
      <c r="E241" s="25"/>
      <c r="F241" s="25"/>
      <c r="G241" s="25"/>
      <c r="H241" s="25"/>
    </row>
    <row r="242">
      <c r="A242" s="6"/>
      <c r="B242" s="6"/>
      <c r="C242" s="6"/>
      <c r="D242" s="21"/>
      <c r="E242" s="22"/>
      <c r="F242" s="22"/>
      <c r="G242" s="22"/>
      <c r="H242" s="22"/>
    </row>
    <row r="243">
      <c r="A243" s="11"/>
      <c r="B243" s="11"/>
      <c r="C243" s="11"/>
      <c r="D243" s="24"/>
      <c r="E243" s="25"/>
      <c r="F243" s="25"/>
      <c r="G243" s="25"/>
      <c r="H243" s="25"/>
    </row>
    <row r="244">
      <c r="A244" s="6"/>
      <c r="B244" s="6"/>
      <c r="C244" s="6"/>
      <c r="D244" s="21"/>
      <c r="E244" s="22"/>
      <c r="F244" s="22"/>
      <c r="G244" s="22"/>
      <c r="H244" s="22"/>
    </row>
    <row r="245">
      <c r="A245" s="11"/>
      <c r="B245" s="11"/>
      <c r="C245" s="11"/>
      <c r="D245" s="24"/>
      <c r="E245" s="25"/>
      <c r="F245" s="25"/>
      <c r="G245" s="25"/>
      <c r="H245" s="25"/>
    </row>
    <row r="246">
      <c r="A246" s="6"/>
      <c r="B246" s="6"/>
      <c r="C246" s="6"/>
      <c r="D246" s="21"/>
      <c r="E246" s="22"/>
      <c r="F246" s="22"/>
      <c r="G246" s="22"/>
      <c r="H246" s="22"/>
    </row>
    <row r="247">
      <c r="A247" s="11"/>
      <c r="B247" s="11"/>
      <c r="C247" s="11"/>
      <c r="D247" s="24"/>
      <c r="E247" s="25"/>
      <c r="F247" s="25"/>
      <c r="G247" s="25"/>
      <c r="H247" s="25"/>
    </row>
    <row r="248">
      <c r="A248" s="6"/>
      <c r="B248" s="6"/>
      <c r="C248" s="6"/>
      <c r="D248" s="21"/>
      <c r="E248" s="22"/>
      <c r="F248" s="22"/>
      <c r="G248" s="22"/>
      <c r="H248" s="22"/>
    </row>
    <row r="249">
      <c r="A249" s="11"/>
      <c r="B249" s="11"/>
      <c r="C249" s="11"/>
      <c r="D249" s="24"/>
      <c r="E249" s="25"/>
      <c r="F249" s="25"/>
      <c r="G249" s="25"/>
      <c r="H249" s="25"/>
    </row>
    <row r="250">
      <c r="A250" s="6"/>
      <c r="B250" s="6"/>
      <c r="C250" s="6"/>
      <c r="D250" s="21"/>
      <c r="E250" s="22"/>
      <c r="F250" s="22"/>
      <c r="G250" s="22"/>
      <c r="H250" s="22"/>
    </row>
    <row r="251">
      <c r="A251" s="11"/>
      <c r="B251" s="11"/>
      <c r="C251" s="11"/>
      <c r="D251" s="24"/>
      <c r="E251" s="25"/>
      <c r="F251" s="25"/>
      <c r="G251" s="25"/>
      <c r="H251" s="25"/>
    </row>
    <row r="252">
      <c r="A252" s="6"/>
      <c r="B252" s="6"/>
      <c r="C252" s="6"/>
      <c r="D252" s="21"/>
      <c r="E252" s="22"/>
      <c r="F252" s="22"/>
      <c r="G252" s="22"/>
      <c r="H252" s="22"/>
    </row>
    <row r="253">
      <c r="A253" s="11"/>
      <c r="B253" s="11"/>
      <c r="C253" s="11"/>
      <c r="D253" s="24"/>
      <c r="E253" s="25"/>
      <c r="F253" s="25"/>
      <c r="G253" s="25"/>
      <c r="H253" s="25"/>
    </row>
    <row r="254">
      <c r="A254" s="6"/>
      <c r="B254" s="6"/>
      <c r="C254" s="6"/>
      <c r="D254" s="21"/>
      <c r="E254" s="22"/>
      <c r="F254" s="22"/>
      <c r="G254" s="22"/>
      <c r="H254" s="22"/>
    </row>
    <row r="255">
      <c r="A255" s="11"/>
      <c r="B255" s="11"/>
      <c r="C255" s="11"/>
      <c r="D255" s="24"/>
      <c r="E255" s="25"/>
      <c r="F255" s="25"/>
      <c r="G255" s="25"/>
      <c r="H255" s="25"/>
    </row>
    <row r="256">
      <c r="A256" s="6"/>
      <c r="B256" s="6"/>
      <c r="C256" s="6"/>
      <c r="D256" s="21"/>
      <c r="E256" s="22"/>
      <c r="F256" s="22"/>
      <c r="G256" s="22"/>
      <c r="H256" s="22"/>
    </row>
    <row r="257">
      <c r="A257" s="11"/>
      <c r="B257" s="11"/>
      <c r="C257" s="11"/>
      <c r="D257" s="24"/>
      <c r="E257" s="25"/>
      <c r="F257" s="25"/>
      <c r="G257" s="25"/>
      <c r="H257" s="25"/>
    </row>
    <row r="258">
      <c r="A258" s="6"/>
      <c r="B258" s="6"/>
      <c r="C258" s="6"/>
      <c r="D258" s="21"/>
      <c r="E258" s="22"/>
      <c r="F258" s="22"/>
      <c r="G258" s="22"/>
      <c r="H258" s="22"/>
    </row>
    <row r="259">
      <c r="A259" s="11"/>
      <c r="B259" s="11"/>
      <c r="C259" s="11"/>
      <c r="D259" s="24"/>
      <c r="E259" s="25"/>
      <c r="F259" s="25"/>
      <c r="G259" s="25"/>
      <c r="H259" s="25"/>
    </row>
    <row r="260">
      <c r="A260" s="6"/>
      <c r="B260" s="6"/>
      <c r="C260" s="6"/>
      <c r="D260" s="21"/>
      <c r="E260" s="22"/>
      <c r="F260" s="22"/>
      <c r="G260" s="22"/>
      <c r="H260" s="22"/>
    </row>
    <row r="261">
      <c r="A261" s="11"/>
      <c r="B261" s="11"/>
      <c r="C261" s="11"/>
      <c r="D261" s="24"/>
      <c r="E261" s="25"/>
      <c r="F261" s="25"/>
      <c r="G261" s="25"/>
      <c r="H261" s="25"/>
    </row>
    <row r="262">
      <c r="A262" s="6"/>
      <c r="B262" s="6"/>
      <c r="C262" s="6"/>
      <c r="D262" s="21"/>
      <c r="E262" s="22"/>
      <c r="F262" s="22"/>
      <c r="G262" s="22"/>
      <c r="H262" s="22"/>
    </row>
    <row r="263">
      <c r="A263" s="11"/>
      <c r="B263" s="11"/>
      <c r="C263" s="11"/>
      <c r="D263" s="24"/>
      <c r="E263" s="25"/>
      <c r="F263" s="25"/>
      <c r="G263" s="25"/>
      <c r="H263" s="25"/>
    </row>
    <row r="264">
      <c r="A264" s="6"/>
      <c r="B264" s="6"/>
      <c r="C264" s="6"/>
      <c r="D264" s="21"/>
      <c r="E264" s="22"/>
      <c r="F264" s="22"/>
      <c r="G264" s="22"/>
      <c r="H264" s="22"/>
    </row>
    <row r="265">
      <c r="A265" s="11"/>
      <c r="B265" s="11"/>
      <c r="C265" s="11"/>
      <c r="D265" s="24"/>
      <c r="E265" s="25"/>
      <c r="F265" s="25"/>
      <c r="G265" s="25"/>
      <c r="H265" s="25"/>
    </row>
    <row r="266">
      <c r="A266" s="6"/>
      <c r="B266" s="6"/>
      <c r="C266" s="6"/>
      <c r="D266" s="21"/>
      <c r="E266" s="22"/>
      <c r="F266" s="22"/>
      <c r="G266" s="22"/>
      <c r="H266" s="22"/>
    </row>
    <row r="267">
      <c r="A267" s="11"/>
      <c r="B267" s="11"/>
      <c r="C267" s="11"/>
      <c r="D267" s="24"/>
      <c r="E267" s="25"/>
      <c r="F267" s="25"/>
      <c r="G267" s="25"/>
      <c r="H267" s="25"/>
    </row>
    <row r="268">
      <c r="A268" s="6"/>
      <c r="B268" s="6"/>
      <c r="C268" s="6"/>
      <c r="D268" s="21"/>
      <c r="E268" s="22"/>
      <c r="F268" s="22"/>
      <c r="G268" s="22"/>
      <c r="H268" s="22"/>
    </row>
    <row r="269">
      <c r="A269" s="11"/>
      <c r="B269" s="11"/>
      <c r="C269" s="11"/>
      <c r="D269" s="24"/>
      <c r="E269" s="25"/>
      <c r="F269" s="25"/>
      <c r="G269" s="25"/>
      <c r="H269" s="25"/>
    </row>
    <row r="270">
      <c r="A270" s="6"/>
      <c r="B270" s="6"/>
      <c r="C270" s="6"/>
      <c r="D270" s="21"/>
      <c r="E270" s="22"/>
      <c r="F270" s="22"/>
      <c r="G270" s="22"/>
      <c r="H270" s="22"/>
    </row>
    <row r="271">
      <c r="A271" s="11"/>
      <c r="B271" s="11"/>
      <c r="C271" s="11"/>
      <c r="D271" s="24"/>
      <c r="E271" s="25"/>
      <c r="F271" s="25"/>
      <c r="G271" s="25"/>
      <c r="H271" s="25"/>
    </row>
    <row r="272">
      <c r="A272" s="6"/>
      <c r="B272" s="6"/>
      <c r="C272" s="6"/>
      <c r="D272" s="21"/>
      <c r="E272" s="22"/>
      <c r="F272" s="22"/>
      <c r="G272" s="22"/>
      <c r="H272" s="22"/>
    </row>
    <row r="273">
      <c r="A273" s="11"/>
      <c r="B273" s="11"/>
      <c r="C273" s="11"/>
      <c r="D273" s="24"/>
      <c r="E273" s="25"/>
      <c r="F273" s="25"/>
      <c r="G273" s="25"/>
      <c r="H273" s="25"/>
    </row>
    <row r="274">
      <c r="A274" s="6"/>
      <c r="B274" s="6"/>
      <c r="C274" s="6"/>
      <c r="D274" s="21"/>
      <c r="E274" s="22"/>
      <c r="F274" s="22"/>
      <c r="G274" s="22"/>
      <c r="H274" s="22"/>
    </row>
    <row r="275">
      <c r="A275" s="11"/>
      <c r="B275" s="11"/>
      <c r="C275" s="11"/>
      <c r="D275" s="24"/>
      <c r="E275" s="25"/>
      <c r="F275" s="25"/>
      <c r="G275" s="25"/>
      <c r="H275" s="25"/>
    </row>
    <row r="276">
      <c r="A276" s="6"/>
      <c r="B276" s="6"/>
      <c r="C276" s="6"/>
      <c r="D276" s="21"/>
      <c r="E276" s="22"/>
      <c r="F276" s="22"/>
      <c r="G276" s="22"/>
      <c r="H276" s="22"/>
    </row>
    <row r="277">
      <c r="A277" s="11"/>
      <c r="B277" s="11"/>
      <c r="C277" s="11"/>
      <c r="D277" s="24"/>
      <c r="E277" s="25"/>
      <c r="F277" s="25"/>
      <c r="G277" s="25"/>
      <c r="H277" s="25"/>
    </row>
    <row r="278">
      <c r="A278" s="6"/>
      <c r="B278" s="6"/>
      <c r="C278" s="6"/>
      <c r="D278" s="21"/>
      <c r="E278" s="22"/>
      <c r="F278" s="22"/>
      <c r="G278" s="22"/>
      <c r="H278" s="22"/>
    </row>
    <row r="279">
      <c r="A279" s="11"/>
      <c r="B279" s="11"/>
      <c r="C279" s="11"/>
      <c r="D279" s="24"/>
      <c r="E279" s="25"/>
      <c r="F279" s="25"/>
      <c r="G279" s="25"/>
      <c r="H279" s="25"/>
    </row>
    <row r="280">
      <c r="A280" s="6"/>
      <c r="B280" s="6"/>
      <c r="C280" s="6"/>
      <c r="D280" s="21"/>
      <c r="E280" s="22"/>
      <c r="F280" s="22"/>
      <c r="G280" s="22"/>
      <c r="H280" s="22"/>
    </row>
    <row r="281">
      <c r="A281" s="11"/>
      <c r="B281" s="11"/>
      <c r="C281" s="11"/>
      <c r="D281" s="24"/>
      <c r="E281" s="25"/>
      <c r="F281" s="25"/>
      <c r="G281" s="25"/>
      <c r="H281" s="25"/>
    </row>
    <row r="282">
      <c r="A282" s="6"/>
      <c r="B282" s="6"/>
      <c r="C282" s="6"/>
      <c r="D282" s="21"/>
      <c r="E282" s="22"/>
      <c r="F282" s="22"/>
      <c r="G282" s="22"/>
      <c r="H282" s="22"/>
    </row>
    <row r="283">
      <c r="A283" s="11"/>
      <c r="B283" s="11"/>
      <c r="C283" s="11"/>
      <c r="D283" s="24"/>
      <c r="E283" s="25"/>
      <c r="F283" s="25"/>
      <c r="G283" s="25"/>
      <c r="H283" s="25"/>
    </row>
    <row r="284">
      <c r="A284" s="6"/>
      <c r="B284" s="6"/>
      <c r="C284" s="6"/>
      <c r="D284" s="21"/>
      <c r="E284" s="22"/>
      <c r="F284" s="22"/>
      <c r="G284" s="22"/>
      <c r="H284" s="22"/>
    </row>
    <row r="285">
      <c r="A285" s="11"/>
      <c r="B285" s="11"/>
      <c r="C285" s="11"/>
      <c r="D285" s="24"/>
      <c r="E285" s="25"/>
      <c r="F285" s="25"/>
      <c r="G285" s="25"/>
      <c r="H285" s="25"/>
    </row>
    <row r="286">
      <c r="A286" s="6"/>
      <c r="B286" s="6"/>
      <c r="C286" s="6"/>
      <c r="D286" s="21"/>
      <c r="E286" s="22"/>
      <c r="F286" s="22"/>
      <c r="G286" s="22"/>
      <c r="H286" s="22"/>
    </row>
    <row r="287">
      <c r="A287" s="11"/>
      <c r="B287" s="11"/>
      <c r="C287" s="11"/>
      <c r="D287" s="24"/>
      <c r="E287" s="25"/>
      <c r="F287" s="25"/>
      <c r="G287" s="25"/>
      <c r="H287" s="25"/>
    </row>
    <row r="288">
      <c r="A288" s="6"/>
      <c r="B288" s="6"/>
      <c r="C288" s="6"/>
      <c r="D288" s="21"/>
      <c r="E288" s="22"/>
      <c r="F288" s="22"/>
      <c r="G288" s="22"/>
      <c r="H288" s="22"/>
    </row>
    <row r="289">
      <c r="A289" s="11"/>
      <c r="B289" s="11"/>
      <c r="C289" s="11"/>
      <c r="D289" s="24"/>
      <c r="E289" s="25"/>
      <c r="F289" s="25"/>
      <c r="G289" s="25"/>
      <c r="H289" s="25"/>
    </row>
    <row r="290">
      <c r="A290" s="6"/>
      <c r="B290" s="6"/>
      <c r="C290" s="6"/>
      <c r="D290" s="21"/>
      <c r="E290" s="22"/>
      <c r="F290" s="22"/>
      <c r="G290" s="22"/>
      <c r="H290" s="22"/>
    </row>
    <row r="291">
      <c r="A291" s="11"/>
      <c r="B291" s="11"/>
      <c r="C291" s="11"/>
      <c r="D291" s="24"/>
      <c r="E291" s="25"/>
      <c r="F291" s="25"/>
      <c r="G291" s="25"/>
      <c r="H291" s="25"/>
    </row>
    <row r="292">
      <c r="A292" s="6"/>
      <c r="B292" s="6"/>
      <c r="C292" s="6"/>
      <c r="D292" s="21"/>
      <c r="E292" s="22"/>
      <c r="F292" s="22"/>
      <c r="G292" s="22"/>
      <c r="H292" s="22"/>
    </row>
    <row r="293">
      <c r="A293" s="11"/>
      <c r="B293" s="11"/>
      <c r="C293" s="11"/>
      <c r="D293" s="24"/>
      <c r="E293" s="25"/>
      <c r="F293" s="25"/>
      <c r="G293" s="25"/>
      <c r="H293" s="25"/>
    </row>
    <row r="294">
      <c r="A294" s="6"/>
      <c r="B294" s="6"/>
      <c r="C294" s="6"/>
      <c r="D294" s="21"/>
      <c r="E294" s="22"/>
      <c r="F294" s="22"/>
      <c r="G294" s="22"/>
      <c r="H294" s="22"/>
    </row>
    <row r="295">
      <c r="A295" s="11"/>
      <c r="B295" s="11"/>
      <c r="C295" s="11"/>
      <c r="D295" s="24"/>
      <c r="E295" s="25"/>
      <c r="F295" s="25"/>
      <c r="G295" s="25"/>
      <c r="H295" s="25"/>
    </row>
    <row r="296">
      <c r="A296" s="6"/>
      <c r="B296" s="6"/>
      <c r="C296" s="6"/>
      <c r="D296" s="21"/>
      <c r="E296" s="22"/>
      <c r="F296" s="22"/>
      <c r="G296" s="22"/>
      <c r="H296" s="22"/>
    </row>
    <row r="297">
      <c r="A297" s="11"/>
      <c r="B297" s="11"/>
      <c r="C297" s="11"/>
      <c r="D297" s="24"/>
      <c r="E297" s="25"/>
      <c r="F297" s="25"/>
      <c r="G297" s="25"/>
      <c r="H297" s="25"/>
    </row>
    <row r="298">
      <c r="A298" s="6"/>
      <c r="B298" s="6"/>
      <c r="C298" s="6"/>
      <c r="D298" s="21"/>
      <c r="E298" s="22"/>
      <c r="F298" s="22"/>
      <c r="G298" s="22"/>
      <c r="H298" s="22"/>
    </row>
    <row r="299">
      <c r="A299" s="11"/>
      <c r="B299" s="11"/>
      <c r="C299" s="11"/>
      <c r="D299" s="24"/>
      <c r="E299" s="25"/>
      <c r="F299" s="25"/>
      <c r="G299" s="25"/>
      <c r="H299" s="25"/>
    </row>
    <row r="300">
      <c r="A300" s="6"/>
      <c r="B300" s="6"/>
      <c r="C300" s="6"/>
      <c r="D300" s="21"/>
      <c r="E300" s="22"/>
      <c r="F300" s="22"/>
      <c r="G300" s="22"/>
      <c r="H300" s="22"/>
    </row>
    <row r="301">
      <c r="A301" s="11"/>
      <c r="B301" s="11"/>
      <c r="C301" s="11"/>
      <c r="D301" s="24"/>
      <c r="E301" s="25"/>
      <c r="F301" s="25"/>
      <c r="G301" s="25"/>
      <c r="H301" s="25"/>
    </row>
    <row r="302">
      <c r="A302" s="6"/>
      <c r="B302" s="6"/>
      <c r="C302" s="6"/>
      <c r="D302" s="21"/>
      <c r="E302" s="22"/>
      <c r="F302" s="22"/>
      <c r="G302" s="22"/>
      <c r="H302" s="22"/>
    </row>
    <row r="303">
      <c r="A303" s="11"/>
      <c r="B303" s="11"/>
      <c r="C303" s="11"/>
      <c r="D303" s="24"/>
      <c r="E303" s="25"/>
      <c r="F303" s="25"/>
      <c r="G303" s="25"/>
      <c r="H303" s="25"/>
    </row>
    <row r="304">
      <c r="A304" s="6"/>
      <c r="B304" s="6"/>
      <c r="C304" s="6"/>
      <c r="D304" s="21"/>
      <c r="E304" s="22"/>
      <c r="F304" s="22"/>
      <c r="G304" s="22"/>
      <c r="H304" s="22"/>
    </row>
    <row r="305">
      <c r="A305" s="11"/>
      <c r="B305" s="11"/>
      <c r="C305" s="11"/>
      <c r="D305" s="24"/>
      <c r="E305" s="25"/>
      <c r="F305" s="25"/>
      <c r="G305" s="25"/>
      <c r="H305" s="25"/>
    </row>
    <row r="306">
      <c r="A306" s="6"/>
      <c r="B306" s="6"/>
      <c r="C306" s="6"/>
      <c r="D306" s="21"/>
      <c r="E306" s="22"/>
      <c r="F306" s="22"/>
      <c r="G306" s="22"/>
      <c r="H306" s="22"/>
    </row>
    <row r="307">
      <c r="A307" s="11"/>
      <c r="B307" s="11"/>
      <c r="C307" s="11"/>
      <c r="D307" s="24"/>
      <c r="E307" s="25"/>
      <c r="F307" s="25"/>
      <c r="G307" s="25"/>
      <c r="H307" s="25"/>
    </row>
    <row r="308">
      <c r="A308" s="6"/>
      <c r="B308" s="6"/>
      <c r="C308" s="6"/>
      <c r="D308" s="21"/>
      <c r="E308" s="22"/>
      <c r="F308" s="22"/>
      <c r="G308" s="22"/>
      <c r="H308" s="22"/>
    </row>
    <row r="309">
      <c r="A309" s="11"/>
      <c r="B309" s="11"/>
      <c r="C309" s="11"/>
      <c r="D309" s="24"/>
      <c r="E309" s="25"/>
      <c r="F309" s="25"/>
      <c r="G309" s="25"/>
      <c r="H309" s="25"/>
    </row>
    <row r="310">
      <c r="A310" s="6"/>
      <c r="B310" s="6"/>
      <c r="C310" s="6"/>
      <c r="D310" s="21"/>
      <c r="E310" s="22"/>
      <c r="F310" s="22"/>
      <c r="G310" s="22"/>
      <c r="H310" s="22"/>
    </row>
    <row r="311">
      <c r="A311" s="11"/>
      <c r="B311" s="11"/>
      <c r="C311" s="11"/>
      <c r="D311" s="24"/>
      <c r="E311" s="25"/>
      <c r="F311" s="25"/>
      <c r="G311" s="25"/>
      <c r="H311" s="25"/>
    </row>
    <row r="312">
      <c r="A312" s="6"/>
      <c r="B312" s="6"/>
      <c r="C312" s="6"/>
      <c r="D312" s="21"/>
      <c r="E312" s="22"/>
      <c r="F312" s="22"/>
      <c r="G312" s="22"/>
      <c r="H312" s="22"/>
    </row>
    <row r="313">
      <c r="A313" s="11"/>
      <c r="B313" s="11"/>
      <c r="C313" s="11"/>
      <c r="D313" s="24"/>
      <c r="E313" s="25"/>
      <c r="F313" s="25"/>
      <c r="G313" s="25"/>
      <c r="H313" s="25"/>
    </row>
    <row r="314">
      <c r="A314" s="6"/>
      <c r="B314" s="6"/>
      <c r="C314" s="6"/>
      <c r="D314" s="21"/>
      <c r="E314" s="22"/>
      <c r="F314" s="22"/>
      <c r="G314" s="22"/>
      <c r="H314" s="22"/>
    </row>
    <row r="315">
      <c r="A315" s="11"/>
      <c r="B315" s="11"/>
      <c r="C315" s="11"/>
      <c r="D315" s="24"/>
      <c r="E315" s="25"/>
      <c r="F315" s="25"/>
      <c r="G315" s="25"/>
      <c r="H315" s="25"/>
    </row>
    <row r="316">
      <c r="A316" s="6"/>
      <c r="B316" s="6"/>
      <c r="C316" s="6"/>
      <c r="D316" s="21"/>
      <c r="E316" s="22"/>
      <c r="F316" s="22"/>
      <c r="G316" s="22"/>
      <c r="H316" s="22"/>
    </row>
    <row r="317">
      <c r="A317" s="11"/>
      <c r="B317" s="11"/>
      <c r="C317" s="11"/>
      <c r="D317" s="24"/>
      <c r="E317" s="25"/>
      <c r="F317" s="25"/>
      <c r="G317" s="25"/>
      <c r="H317" s="25"/>
    </row>
    <row r="318">
      <c r="A318" s="6"/>
      <c r="B318" s="6"/>
      <c r="C318" s="6"/>
      <c r="D318" s="21"/>
      <c r="E318" s="22"/>
      <c r="F318" s="22"/>
      <c r="G318" s="22"/>
      <c r="H318" s="22"/>
    </row>
    <row r="319">
      <c r="A319" s="11"/>
      <c r="B319" s="11"/>
      <c r="C319" s="11"/>
      <c r="D319" s="24"/>
      <c r="E319" s="25"/>
      <c r="F319" s="25"/>
      <c r="G319" s="25"/>
      <c r="H319" s="25"/>
    </row>
    <row r="320">
      <c r="A320" s="6"/>
      <c r="B320" s="6"/>
      <c r="C320" s="6"/>
      <c r="D320" s="21"/>
      <c r="E320" s="22"/>
      <c r="F320" s="22"/>
      <c r="G320" s="22"/>
      <c r="H320" s="22"/>
    </row>
    <row r="321">
      <c r="A321" s="11"/>
      <c r="B321" s="11"/>
      <c r="C321" s="11"/>
      <c r="D321" s="24"/>
      <c r="E321" s="25"/>
      <c r="F321" s="25"/>
      <c r="G321" s="25"/>
      <c r="H321" s="25"/>
    </row>
    <row r="322">
      <c r="A322" s="6"/>
      <c r="B322" s="6"/>
      <c r="C322" s="6"/>
      <c r="D322" s="21"/>
      <c r="E322" s="22"/>
      <c r="F322" s="22"/>
      <c r="G322" s="22"/>
      <c r="H322" s="22"/>
    </row>
    <row r="323">
      <c r="A323" s="11"/>
      <c r="B323" s="11"/>
      <c r="C323" s="11"/>
      <c r="D323" s="24"/>
      <c r="E323" s="25"/>
      <c r="F323" s="25"/>
      <c r="G323" s="25"/>
      <c r="H323" s="25"/>
    </row>
    <row r="324">
      <c r="A324" s="6"/>
      <c r="B324" s="6"/>
      <c r="C324" s="6"/>
      <c r="D324" s="21"/>
      <c r="E324" s="22"/>
      <c r="F324" s="22"/>
      <c r="G324" s="22"/>
      <c r="H324" s="22"/>
    </row>
    <row r="325">
      <c r="A325" s="11"/>
      <c r="B325" s="11"/>
      <c r="C325" s="11"/>
      <c r="D325" s="24"/>
      <c r="E325" s="25"/>
      <c r="F325" s="25"/>
      <c r="G325" s="25"/>
      <c r="H325" s="25"/>
    </row>
    <row r="326">
      <c r="A326" s="6"/>
      <c r="B326" s="6"/>
      <c r="C326" s="6"/>
      <c r="D326" s="21"/>
      <c r="E326" s="22"/>
      <c r="F326" s="22"/>
      <c r="G326" s="22"/>
      <c r="H326" s="22"/>
    </row>
    <row r="327">
      <c r="A327" s="11"/>
      <c r="B327" s="11"/>
      <c r="C327" s="11"/>
      <c r="D327" s="24"/>
      <c r="E327" s="25"/>
      <c r="F327" s="25"/>
      <c r="G327" s="25"/>
      <c r="H327" s="25"/>
    </row>
    <row r="328">
      <c r="A328" s="6"/>
      <c r="B328" s="6"/>
      <c r="C328" s="6"/>
      <c r="D328" s="21"/>
      <c r="E328" s="22"/>
      <c r="F328" s="22"/>
      <c r="G328" s="22"/>
      <c r="H328" s="22"/>
    </row>
    <row r="329">
      <c r="A329" s="11"/>
      <c r="B329" s="11"/>
      <c r="C329" s="11"/>
      <c r="D329" s="24"/>
      <c r="E329" s="25"/>
      <c r="F329" s="25"/>
      <c r="G329" s="25"/>
      <c r="H329" s="25"/>
    </row>
    <row r="330">
      <c r="A330" s="6"/>
      <c r="B330" s="6"/>
      <c r="C330" s="6"/>
      <c r="D330" s="21"/>
      <c r="E330" s="22"/>
      <c r="F330" s="22"/>
      <c r="G330" s="22"/>
      <c r="H330" s="22"/>
    </row>
    <row r="331">
      <c r="A331" s="11"/>
      <c r="B331" s="11"/>
      <c r="C331" s="11"/>
      <c r="D331" s="24"/>
      <c r="E331" s="25"/>
      <c r="F331" s="25"/>
      <c r="G331" s="25"/>
      <c r="H331" s="25"/>
    </row>
    <row r="332">
      <c r="A332" s="6"/>
      <c r="B332" s="6"/>
      <c r="C332" s="6"/>
      <c r="D332" s="21"/>
      <c r="E332" s="22"/>
      <c r="F332" s="22"/>
      <c r="G332" s="22"/>
      <c r="H332" s="22"/>
    </row>
    <row r="333">
      <c r="A333" s="11"/>
      <c r="B333" s="11"/>
      <c r="C333" s="11"/>
      <c r="D333" s="24"/>
      <c r="E333" s="25"/>
      <c r="F333" s="25"/>
      <c r="G333" s="25"/>
      <c r="H333" s="25"/>
    </row>
    <row r="334">
      <c r="A334" s="6"/>
      <c r="B334" s="6"/>
      <c r="C334" s="6"/>
      <c r="D334" s="21"/>
      <c r="E334" s="22"/>
      <c r="F334" s="22"/>
      <c r="G334" s="22"/>
      <c r="H334" s="22"/>
    </row>
    <row r="335">
      <c r="A335" s="11"/>
      <c r="B335" s="11"/>
      <c r="C335" s="11"/>
      <c r="D335" s="24"/>
      <c r="E335" s="25"/>
      <c r="F335" s="25"/>
      <c r="G335" s="25"/>
      <c r="H335" s="25"/>
    </row>
    <row r="336">
      <c r="A336" s="6"/>
      <c r="B336" s="6"/>
      <c r="C336" s="6"/>
      <c r="D336" s="21"/>
      <c r="E336" s="22"/>
      <c r="F336" s="22"/>
      <c r="G336" s="22"/>
      <c r="H336" s="22"/>
    </row>
    <row r="337">
      <c r="A337" s="11"/>
      <c r="B337" s="11"/>
      <c r="C337" s="11"/>
      <c r="D337" s="24"/>
      <c r="E337" s="25"/>
      <c r="F337" s="25"/>
      <c r="G337" s="25"/>
      <c r="H337" s="25"/>
    </row>
    <row r="338">
      <c r="A338" s="6"/>
      <c r="B338" s="6"/>
      <c r="C338" s="6"/>
      <c r="D338" s="21"/>
      <c r="E338" s="22"/>
      <c r="F338" s="22"/>
      <c r="G338" s="22"/>
      <c r="H338" s="22"/>
    </row>
    <row r="339">
      <c r="A339" s="11"/>
      <c r="B339" s="11"/>
      <c r="C339" s="11"/>
      <c r="D339" s="24"/>
      <c r="E339" s="25"/>
      <c r="F339" s="25"/>
      <c r="G339" s="25"/>
      <c r="H339" s="25"/>
    </row>
    <row r="340">
      <c r="A340" s="6"/>
      <c r="B340" s="6"/>
      <c r="C340" s="6"/>
      <c r="D340" s="21"/>
      <c r="E340" s="22"/>
      <c r="F340" s="22"/>
      <c r="G340" s="22"/>
      <c r="H340" s="22"/>
    </row>
    <row r="341">
      <c r="A341" s="11"/>
      <c r="B341" s="11"/>
      <c r="C341" s="11"/>
      <c r="D341" s="24"/>
      <c r="E341" s="25"/>
      <c r="F341" s="25"/>
      <c r="G341" s="25"/>
      <c r="H341" s="25"/>
    </row>
    <row r="342">
      <c r="A342" s="6"/>
      <c r="B342" s="6"/>
      <c r="C342" s="6"/>
      <c r="D342" s="21"/>
      <c r="E342" s="22"/>
      <c r="F342" s="22"/>
      <c r="G342" s="22"/>
      <c r="H342" s="22"/>
    </row>
    <row r="343">
      <c r="A343" s="11"/>
      <c r="B343" s="11"/>
      <c r="C343" s="11"/>
      <c r="D343" s="24"/>
      <c r="E343" s="25"/>
      <c r="F343" s="25"/>
      <c r="G343" s="25"/>
      <c r="H343" s="25"/>
    </row>
    <row r="344">
      <c r="A344" s="6"/>
      <c r="B344" s="6"/>
      <c r="C344" s="6"/>
      <c r="D344" s="21"/>
      <c r="E344" s="22"/>
      <c r="F344" s="22"/>
      <c r="G344" s="22"/>
      <c r="H344" s="22"/>
    </row>
    <row r="345">
      <c r="A345" s="11"/>
      <c r="B345" s="11"/>
      <c r="C345" s="11"/>
      <c r="D345" s="24"/>
      <c r="E345" s="25"/>
      <c r="F345" s="25"/>
      <c r="G345" s="25"/>
      <c r="H345" s="25"/>
    </row>
    <row r="346">
      <c r="A346" s="6"/>
      <c r="B346" s="6"/>
      <c r="C346" s="6"/>
      <c r="D346" s="21"/>
      <c r="E346" s="22"/>
      <c r="F346" s="22"/>
      <c r="G346" s="22"/>
      <c r="H346" s="22"/>
    </row>
    <row r="347">
      <c r="A347" s="11"/>
      <c r="B347" s="11"/>
      <c r="C347" s="11"/>
      <c r="D347" s="24"/>
      <c r="E347" s="25"/>
      <c r="F347" s="25"/>
      <c r="G347" s="25"/>
      <c r="H347" s="25"/>
    </row>
    <row r="348">
      <c r="A348" s="6"/>
      <c r="B348" s="6"/>
      <c r="C348" s="6"/>
      <c r="D348" s="21"/>
      <c r="E348" s="22"/>
      <c r="F348" s="22"/>
      <c r="G348" s="22"/>
      <c r="H348" s="22"/>
    </row>
    <row r="349">
      <c r="A349" s="11"/>
      <c r="B349" s="11"/>
      <c r="C349" s="11"/>
      <c r="D349" s="24"/>
      <c r="E349" s="25"/>
      <c r="F349" s="25"/>
      <c r="G349" s="25"/>
      <c r="H349" s="25"/>
    </row>
    <row r="350">
      <c r="A350" s="6"/>
      <c r="B350" s="6"/>
      <c r="C350" s="6"/>
      <c r="D350" s="21"/>
      <c r="E350" s="22"/>
      <c r="F350" s="22"/>
      <c r="G350" s="22"/>
      <c r="H350" s="22"/>
    </row>
    <row r="351">
      <c r="A351" s="11"/>
      <c r="B351" s="11"/>
      <c r="C351" s="11"/>
      <c r="D351" s="24"/>
      <c r="E351" s="25"/>
      <c r="F351" s="25"/>
      <c r="G351" s="25"/>
      <c r="H351" s="25"/>
    </row>
    <row r="352">
      <c r="A352" s="6"/>
      <c r="B352" s="6"/>
      <c r="C352" s="6"/>
      <c r="D352" s="21"/>
      <c r="E352" s="22"/>
      <c r="F352" s="22"/>
      <c r="G352" s="22"/>
      <c r="H352" s="22"/>
    </row>
    <row r="353">
      <c r="A353" s="11"/>
      <c r="B353" s="11"/>
      <c r="C353" s="11"/>
      <c r="D353" s="24"/>
      <c r="E353" s="25"/>
      <c r="F353" s="25"/>
      <c r="G353" s="25"/>
      <c r="H353" s="25"/>
    </row>
    <row r="354">
      <c r="A354" s="6"/>
      <c r="B354" s="6"/>
      <c r="C354" s="6"/>
      <c r="D354" s="21"/>
      <c r="E354" s="22"/>
      <c r="F354" s="22"/>
      <c r="G354" s="22"/>
      <c r="H354" s="22"/>
    </row>
    <row r="355">
      <c r="A355" s="11"/>
      <c r="B355" s="11"/>
      <c r="C355" s="11"/>
      <c r="D355" s="24"/>
      <c r="E355" s="25"/>
      <c r="F355" s="25"/>
      <c r="G355" s="25"/>
      <c r="H355" s="25"/>
    </row>
    <row r="356">
      <c r="A356" s="6"/>
      <c r="B356" s="6"/>
      <c r="C356" s="6"/>
      <c r="D356" s="21"/>
      <c r="E356" s="22"/>
      <c r="F356" s="22"/>
      <c r="G356" s="22"/>
      <c r="H356" s="22"/>
    </row>
    <row r="357">
      <c r="A357" s="11"/>
      <c r="B357" s="11"/>
      <c r="C357" s="11"/>
      <c r="D357" s="24"/>
      <c r="E357" s="25"/>
      <c r="F357" s="25"/>
      <c r="G357" s="25"/>
      <c r="H357" s="25"/>
    </row>
    <row r="358">
      <c r="A358" s="6"/>
      <c r="B358" s="6"/>
      <c r="C358" s="6"/>
      <c r="D358" s="21"/>
      <c r="E358" s="22"/>
      <c r="F358" s="22"/>
      <c r="G358" s="22"/>
      <c r="H358" s="22"/>
    </row>
    <row r="359">
      <c r="A359" s="11"/>
      <c r="B359" s="11"/>
      <c r="C359" s="11"/>
      <c r="D359" s="24"/>
      <c r="E359" s="25"/>
      <c r="F359" s="25"/>
      <c r="G359" s="25"/>
      <c r="H359" s="25"/>
    </row>
    <row r="360">
      <c r="A360" s="6"/>
      <c r="B360" s="6"/>
      <c r="C360" s="6"/>
      <c r="D360" s="21"/>
      <c r="E360" s="22"/>
      <c r="F360" s="22"/>
      <c r="G360" s="22"/>
      <c r="H360" s="22"/>
    </row>
    <row r="361">
      <c r="A361" s="11"/>
      <c r="B361" s="11"/>
      <c r="C361" s="11"/>
      <c r="D361" s="24"/>
      <c r="E361" s="25"/>
      <c r="F361" s="25"/>
      <c r="G361" s="25"/>
      <c r="H361" s="25"/>
    </row>
    <row r="362">
      <c r="A362" s="6"/>
      <c r="B362" s="6"/>
      <c r="C362" s="6"/>
      <c r="D362" s="21"/>
      <c r="E362" s="22"/>
      <c r="F362" s="22"/>
      <c r="G362" s="22"/>
      <c r="H362" s="22"/>
    </row>
    <row r="363">
      <c r="A363" s="11"/>
      <c r="B363" s="11"/>
      <c r="C363" s="11"/>
      <c r="D363" s="24"/>
      <c r="E363" s="25"/>
      <c r="F363" s="25"/>
      <c r="G363" s="25"/>
      <c r="H363" s="25"/>
    </row>
    <row r="364">
      <c r="A364" s="6"/>
      <c r="B364" s="6"/>
      <c r="C364" s="6"/>
      <c r="D364" s="21"/>
      <c r="E364" s="22"/>
      <c r="F364" s="22"/>
      <c r="G364" s="22"/>
      <c r="H364" s="22"/>
    </row>
    <row r="365">
      <c r="A365" s="11"/>
      <c r="B365" s="11"/>
      <c r="C365" s="11"/>
      <c r="D365" s="24"/>
      <c r="E365" s="25"/>
      <c r="F365" s="25"/>
      <c r="G365" s="25"/>
      <c r="H365" s="25"/>
    </row>
    <row r="366">
      <c r="A366" s="6"/>
      <c r="B366" s="6"/>
      <c r="C366" s="6"/>
      <c r="D366" s="21"/>
      <c r="E366" s="22"/>
      <c r="F366" s="22"/>
      <c r="G366" s="22"/>
      <c r="H366" s="22"/>
    </row>
    <row r="367">
      <c r="A367" s="11"/>
      <c r="B367" s="11"/>
      <c r="C367" s="11"/>
      <c r="D367" s="24"/>
      <c r="E367" s="25"/>
      <c r="F367" s="25"/>
      <c r="G367" s="25"/>
      <c r="H367" s="25"/>
    </row>
    <row r="368">
      <c r="A368" s="6"/>
      <c r="B368" s="6"/>
      <c r="C368" s="6"/>
      <c r="D368" s="21"/>
      <c r="E368" s="22"/>
      <c r="F368" s="22"/>
      <c r="G368" s="22"/>
      <c r="H368" s="22"/>
    </row>
    <row r="369">
      <c r="A369" s="11"/>
      <c r="B369" s="11"/>
      <c r="C369" s="11"/>
      <c r="D369" s="24"/>
      <c r="E369" s="25"/>
      <c r="F369" s="25"/>
      <c r="G369" s="25"/>
      <c r="H369" s="25"/>
    </row>
    <row r="370">
      <c r="A370" s="6"/>
      <c r="B370" s="6"/>
      <c r="C370" s="6"/>
      <c r="D370" s="21"/>
      <c r="E370" s="22"/>
      <c r="F370" s="22"/>
      <c r="G370" s="22"/>
      <c r="H370" s="22"/>
    </row>
    <row r="371">
      <c r="A371" s="11"/>
      <c r="B371" s="11"/>
      <c r="C371" s="11"/>
      <c r="D371" s="24"/>
      <c r="E371" s="25"/>
      <c r="F371" s="25"/>
      <c r="G371" s="25"/>
      <c r="H371" s="25"/>
    </row>
    <row r="372">
      <c r="A372" s="6"/>
      <c r="B372" s="6"/>
      <c r="C372" s="6"/>
      <c r="D372" s="21"/>
      <c r="E372" s="22"/>
      <c r="F372" s="22"/>
      <c r="G372" s="22"/>
      <c r="H372" s="22"/>
    </row>
    <row r="373">
      <c r="A373" s="11"/>
      <c r="B373" s="11"/>
      <c r="C373" s="11"/>
      <c r="D373" s="24"/>
      <c r="E373" s="25"/>
      <c r="F373" s="25"/>
      <c r="G373" s="25"/>
      <c r="H373" s="25"/>
    </row>
    <row r="374">
      <c r="A374" s="6"/>
      <c r="B374" s="6"/>
      <c r="C374" s="6"/>
      <c r="D374" s="21"/>
      <c r="E374" s="22"/>
      <c r="F374" s="22"/>
      <c r="G374" s="22"/>
      <c r="H374" s="22"/>
    </row>
    <row r="375">
      <c r="A375" s="11"/>
      <c r="B375" s="11"/>
      <c r="C375" s="11"/>
      <c r="D375" s="24"/>
      <c r="E375" s="25"/>
      <c r="F375" s="25"/>
      <c r="G375" s="25"/>
      <c r="H375" s="25"/>
    </row>
    <row r="376">
      <c r="A376" s="6"/>
      <c r="B376" s="6"/>
      <c r="C376" s="6"/>
      <c r="D376" s="21"/>
      <c r="E376" s="22"/>
      <c r="F376" s="22"/>
      <c r="G376" s="22"/>
      <c r="H376" s="22"/>
    </row>
    <row r="377">
      <c r="A377" s="11"/>
      <c r="B377" s="11"/>
      <c r="C377" s="11"/>
      <c r="D377" s="24"/>
      <c r="E377" s="25"/>
      <c r="F377" s="25"/>
      <c r="G377" s="25"/>
      <c r="H377" s="25"/>
    </row>
    <row r="378">
      <c r="A378" s="6"/>
      <c r="B378" s="6"/>
      <c r="C378" s="6"/>
      <c r="D378" s="21"/>
      <c r="E378" s="22"/>
      <c r="F378" s="22"/>
      <c r="G378" s="22"/>
      <c r="H378" s="22"/>
    </row>
    <row r="379">
      <c r="A379" s="11"/>
      <c r="B379" s="11"/>
      <c r="C379" s="11"/>
      <c r="D379" s="24"/>
      <c r="E379" s="25"/>
      <c r="F379" s="25"/>
      <c r="G379" s="25"/>
      <c r="H379" s="25"/>
    </row>
    <row r="380">
      <c r="A380" s="6"/>
      <c r="B380" s="6"/>
      <c r="C380" s="6"/>
      <c r="D380" s="21"/>
      <c r="E380" s="22"/>
      <c r="F380" s="22"/>
      <c r="G380" s="22"/>
      <c r="H380" s="22"/>
    </row>
    <row r="381">
      <c r="A381" s="11"/>
      <c r="B381" s="11"/>
      <c r="C381" s="11"/>
      <c r="D381" s="24"/>
      <c r="E381" s="25"/>
      <c r="F381" s="25"/>
      <c r="G381" s="25"/>
      <c r="H381" s="25"/>
    </row>
    <row r="382">
      <c r="A382" s="6"/>
      <c r="B382" s="6"/>
      <c r="C382" s="6"/>
      <c r="D382" s="21"/>
      <c r="E382" s="22"/>
      <c r="F382" s="22"/>
      <c r="G382" s="22"/>
      <c r="H382" s="22"/>
    </row>
    <row r="383">
      <c r="A383" s="11"/>
      <c r="B383" s="11"/>
      <c r="C383" s="11"/>
      <c r="D383" s="24"/>
      <c r="E383" s="25"/>
      <c r="F383" s="25"/>
      <c r="G383" s="25"/>
      <c r="H383" s="25"/>
    </row>
    <row r="384">
      <c r="A384" s="6"/>
      <c r="B384" s="6"/>
      <c r="C384" s="6"/>
      <c r="D384" s="21"/>
      <c r="E384" s="22"/>
      <c r="F384" s="22"/>
      <c r="G384" s="22"/>
      <c r="H384" s="22"/>
    </row>
    <row r="385">
      <c r="A385" s="11"/>
      <c r="B385" s="11"/>
      <c r="C385" s="11"/>
      <c r="D385" s="24"/>
      <c r="E385" s="25"/>
      <c r="F385" s="25"/>
      <c r="G385" s="25"/>
      <c r="H385" s="25"/>
    </row>
    <row r="386">
      <c r="A386" s="6"/>
      <c r="B386" s="6"/>
      <c r="C386" s="6"/>
      <c r="D386" s="21"/>
      <c r="E386" s="22"/>
      <c r="F386" s="22"/>
      <c r="G386" s="22"/>
      <c r="H386" s="22"/>
    </row>
    <row r="387">
      <c r="A387" s="11"/>
      <c r="B387" s="11"/>
      <c r="C387" s="11"/>
      <c r="D387" s="24"/>
      <c r="E387" s="25"/>
      <c r="F387" s="25"/>
      <c r="G387" s="25"/>
      <c r="H387" s="25"/>
    </row>
    <row r="388">
      <c r="A388" s="6"/>
      <c r="B388" s="6"/>
      <c r="C388" s="6"/>
      <c r="D388" s="21"/>
      <c r="E388" s="22"/>
      <c r="F388" s="22"/>
      <c r="G388" s="22"/>
      <c r="H388" s="22"/>
    </row>
    <row r="389">
      <c r="A389" s="11"/>
      <c r="B389" s="11"/>
      <c r="C389" s="11"/>
      <c r="D389" s="24"/>
      <c r="E389" s="25"/>
      <c r="F389" s="25"/>
      <c r="G389" s="25"/>
      <c r="H389" s="25"/>
    </row>
    <row r="390">
      <c r="A390" s="6"/>
      <c r="B390" s="6"/>
      <c r="C390" s="6"/>
      <c r="D390" s="21"/>
      <c r="E390" s="22"/>
      <c r="F390" s="22"/>
      <c r="G390" s="22"/>
      <c r="H390" s="22"/>
    </row>
    <row r="391">
      <c r="A391" s="11"/>
      <c r="B391" s="11"/>
      <c r="C391" s="11"/>
      <c r="D391" s="24"/>
      <c r="E391" s="25"/>
      <c r="F391" s="25"/>
      <c r="G391" s="25"/>
      <c r="H391" s="25"/>
    </row>
    <row r="392">
      <c r="A392" s="6"/>
      <c r="B392" s="6"/>
      <c r="C392" s="6"/>
      <c r="D392" s="21"/>
      <c r="E392" s="22"/>
      <c r="F392" s="22"/>
      <c r="G392" s="22"/>
      <c r="H392" s="22"/>
    </row>
    <row r="393">
      <c r="A393" s="11"/>
      <c r="B393" s="11"/>
      <c r="C393" s="11"/>
      <c r="D393" s="24"/>
      <c r="E393" s="25"/>
      <c r="F393" s="25"/>
      <c r="G393" s="25"/>
      <c r="H393" s="25"/>
    </row>
    <row r="394">
      <c r="A394" s="6"/>
      <c r="B394" s="6"/>
      <c r="C394" s="6"/>
      <c r="D394" s="21"/>
      <c r="E394" s="22"/>
      <c r="F394" s="22"/>
      <c r="G394" s="22"/>
      <c r="H394" s="22"/>
    </row>
    <row r="395">
      <c r="A395" s="11"/>
      <c r="B395" s="11"/>
      <c r="C395" s="11"/>
      <c r="D395" s="24"/>
      <c r="E395" s="25"/>
      <c r="F395" s="25"/>
      <c r="G395" s="25"/>
      <c r="H395" s="25"/>
    </row>
    <row r="396">
      <c r="A396" s="6"/>
      <c r="B396" s="6"/>
      <c r="C396" s="6"/>
      <c r="D396" s="21"/>
      <c r="E396" s="22"/>
      <c r="F396" s="22"/>
      <c r="G396" s="22"/>
      <c r="H396" s="22"/>
    </row>
    <row r="397">
      <c r="A397" s="11"/>
      <c r="B397" s="11"/>
      <c r="C397" s="11"/>
      <c r="D397" s="24"/>
      <c r="E397" s="25"/>
      <c r="F397" s="25"/>
      <c r="G397" s="25"/>
      <c r="H397" s="25"/>
    </row>
    <row r="398">
      <c r="A398" s="6"/>
      <c r="B398" s="6"/>
      <c r="C398" s="6"/>
      <c r="D398" s="21"/>
      <c r="E398" s="22"/>
      <c r="F398" s="22"/>
      <c r="G398" s="22"/>
      <c r="H398" s="22"/>
    </row>
    <row r="399">
      <c r="A399" s="11"/>
      <c r="B399" s="11"/>
      <c r="C399" s="11"/>
      <c r="D399" s="24"/>
      <c r="E399" s="25"/>
      <c r="F399" s="25"/>
      <c r="G399" s="25"/>
      <c r="H399" s="25"/>
    </row>
    <row r="400">
      <c r="A400" s="6"/>
      <c r="B400" s="6"/>
      <c r="C400" s="6"/>
      <c r="D400" s="21"/>
      <c r="E400" s="22"/>
      <c r="F400" s="22"/>
      <c r="G400" s="22"/>
      <c r="H400" s="22"/>
    </row>
    <row r="401">
      <c r="A401" s="11"/>
      <c r="B401" s="11"/>
      <c r="C401" s="11"/>
      <c r="D401" s="24"/>
      <c r="E401" s="25"/>
      <c r="F401" s="25"/>
      <c r="G401" s="25"/>
      <c r="H401" s="25"/>
    </row>
    <row r="402">
      <c r="A402" s="6"/>
      <c r="B402" s="6"/>
      <c r="C402" s="6"/>
      <c r="D402" s="21"/>
      <c r="E402" s="22"/>
      <c r="F402" s="22"/>
      <c r="G402" s="22"/>
      <c r="H402" s="22"/>
    </row>
    <row r="403">
      <c r="A403" s="11"/>
      <c r="B403" s="11"/>
      <c r="C403" s="11"/>
      <c r="D403" s="24"/>
      <c r="E403" s="25"/>
      <c r="F403" s="25"/>
      <c r="G403" s="25"/>
      <c r="H403" s="25"/>
    </row>
    <row r="404">
      <c r="A404" s="6"/>
      <c r="B404" s="6"/>
      <c r="C404" s="6"/>
      <c r="D404" s="21"/>
      <c r="E404" s="22"/>
      <c r="F404" s="22"/>
      <c r="G404" s="22"/>
      <c r="H404" s="22"/>
    </row>
    <row r="405">
      <c r="A405" s="11"/>
      <c r="B405" s="11"/>
      <c r="C405" s="11"/>
      <c r="D405" s="24"/>
      <c r="E405" s="25"/>
      <c r="F405" s="25"/>
      <c r="G405" s="25"/>
      <c r="H405" s="25"/>
    </row>
    <row r="406">
      <c r="A406" s="6"/>
      <c r="B406" s="6"/>
      <c r="C406" s="6"/>
      <c r="D406" s="21"/>
      <c r="E406" s="22"/>
      <c r="F406" s="22"/>
      <c r="G406" s="22"/>
      <c r="H406" s="22"/>
    </row>
    <row r="407">
      <c r="A407" s="11"/>
      <c r="B407" s="11"/>
      <c r="C407" s="11"/>
      <c r="D407" s="24"/>
      <c r="E407" s="25"/>
      <c r="F407" s="25"/>
      <c r="G407" s="25"/>
      <c r="H407" s="25"/>
    </row>
    <row r="408">
      <c r="A408" s="6"/>
      <c r="B408" s="6"/>
      <c r="C408" s="6"/>
      <c r="D408" s="21"/>
      <c r="E408" s="22"/>
      <c r="F408" s="22"/>
      <c r="G408" s="22"/>
      <c r="H408" s="22"/>
    </row>
    <row r="409">
      <c r="A409" s="11"/>
      <c r="B409" s="11"/>
      <c r="C409" s="11"/>
      <c r="D409" s="24"/>
      <c r="E409" s="25"/>
      <c r="F409" s="25"/>
      <c r="G409" s="25"/>
      <c r="H409" s="25"/>
    </row>
    <row r="410">
      <c r="A410" s="6"/>
      <c r="B410" s="6"/>
      <c r="C410" s="6"/>
      <c r="D410" s="21"/>
      <c r="E410" s="22"/>
      <c r="F410" s="22"/>
      <c r="G410" s="22"/>
      <c r="H410" s="22"/>
    </row>
    <row r="411">
      <c r="A411" s="11"/>
      <c r="B411" s="11"/>
      <c r="C411" s="11"/>
      <c r="D411" s="24"/>
      <c r="E411" s="25"/>
      <c r="F411" s="25"/>
      <c r="G411" s="25"/>
      <c r="H411" s="25"/>
    </row>
    <row r="412">
      <c r="A412" s="6"/>
      <c r="B412" s="6"/>
      <c r="C412" s="6"/>
      <c r="D412" s="21"/>
      <c r="E412" s="22"/>
      <c r="F412" s="22"/>
      <c r="G412" s="22"/>
      <c r="H412" s="22"/>
    </row>
    <row r="413">
      <c r="A413" s="11"/>
      <c r="B413" s="11"/>
      <c r="C413" s="11"/>
      <c r="D413" s="24"/>
      <c r="E413" s="25"/>
      <c r="F413" s="25"/>
      <c r="G413" s="25"/>
      <c r="H413" s="25"/>
    </row>
    <row r="414">
      <c r="A414" s="6"/>
      <c r="B414" s="6"/>
      <c r="C414" s="6"/>
      <c r="D414" s="21"/>
      <c r="E414" s="22"/>
      <c r="F414" s="22"/>
      <c r="G414" s="22"/>
      <c r="H414" s="22"/>
    </row>
    <row r="415">
      <c r="A415" s="11"/>
      <c r="B415" s="11"/>
      <c r="C415" s="11"/>
      <c r="D415" s="24"/>
      <c r="E415" s="25"/>
      <c r="F415" s="25"/>
      <c r="G415" s="25"/>
      <c r="H415" s="25"/>
    </row>
    <row r="416">
      <c r="A416" s="6"/>
      <c r="B416" s="6"/>
      <c r="C416" s="6"/>
      <c r="D416" s="21"/>
      <c r="E416" s="22"/>
      <c r="F416" s="22"/>
      <c r="G416" s="22"/>
      <c r="H416" s="22"/>
    </row>
    <row r="417">
      <c r="A417" s="11"/>
      <c r="B417" s="11"/>
      <c r="C417" s="11"/>
      <c r="D417" s="24"/>
      <c r="E417" s="25"/>
      <c r="F417" s="25"/>
      <c r="G417" s="25"/>
      <c r="H417" s="25"/>
    </row>
    <row r="418">
      <c r="A418" s="6"/>
      <c r="B418" s="6"/>
      <c r="C418" s="6"/>
      <c r="D418" s="21"/>
      <c r="E418" s="22"/>
      <c r="F418" s="22"/>
      <c r="G418" s="22"/>
      <c r="H418" s="22"/>
    </row>
    <row r="419">
      <c r="A419" s="11"/>
      <c r="B419" s="11"/>
      <c r="C419" s="11"/>
      <c r="D419" s="24"/>
      <c r="E419" s="25"/>
      <c r="F419" s="25"/>
      <c r="G419" s="25"/>
      <c r="H419" s="25"/>
    </row>
    <row r="420">
      <c r="A420" s="6"/>
      <c r="B420" s="6"/>
      <c r="C420" s="6"/>
      <c r="D420" s="21"/>
      <c r="E420" s="22"/>
      <c r="F420" s="22"/>
      <c r="G420" s="22"/>
      <c r="H420" s="22"/>
    </row>
    <row r="421">
      <c r="A421" s="11"/>
      <c r="B421" s="11"/>
      <c r="C421" s="11"/>
      <c r="D421" s="24"/>
      <c r="E421" s="25"/>
      <c r="F421" s="25"/>
      <c r="G421" s="25"/>
      <c r="H421" s="25"/>
    </row>
    <row r="422">
      <c r="A422" s="6"/>
      <c r="B422" s="6"/>
      <c r="C422" s="6"/>
      <c r="D422" s="21"/>
      <c r="E422" s="22"/>
      <c r="F422" s="22"/>
      <c r="G422" s="22"/>
      <c r="H422" s="22"/>
    </row>
    <row r="423">
      <c r="A423" s="11"/>
      <c r="B423" s="11"/>
      <c r="C423" s="11"/>
      <c r="D423" s="24"/>
      <c r="E423" s="25"/>
      <c r="F423" s="25"/>
      <c r="G423" s="25"/>
      <c r="H423" s="25"/>
    </row>
    <row r="424">
      <c r="A424" s="6"/>
      <c r="B424" s="6"/>
      <c r="C424" s="6"/>
      <c r="D424" s="21"/>
      <c r="E424" s="22"/>
      <c r="F424" s="22"/>
      <c r="G424" s="22"/>
      <c r="H424" s="22"/>
    </row>
    <row r="425">
      <c r="A425" s="11"/>
      <c r="B425" s="11"/>
      <c r="C425" s="11"/>
      <c r="D425" s="24"/>
      <c r="E425" s="25"/>
      <c r="F425" s="25"/>
      <c r="G425" s="25"/>
      <c r="H425" s="25"/>
    </row>
    <row r="426">
      <c r="A426" s="6"/>
      <c r="B426" s="6"/>
      <c r="C426" s="6"/>
      <c r="D426" s="21"/>
      <c r="E426" s="22"/>
      <c r="F426" s="22"/>
      <c r="G426" s="22"/>
      <c r="H426" s="22"/>
    </row>
    <row r="427">
      <c r="A427" s="11"/>
      <c r="B427" s="11"/>
      <c r="C427" s="11"/>
      <c r="D427" s="24"/>
      <c r="E427" s="25"/>
      <c r="F427" s="25"/>
      <c r="G427" s="25"/>
      <c r="H427" s="25"/>
    </row>
    <row r="428">
      <c r="A428" s="6"/>
      <c r="B428" s="6"/>
      <c r="C428" s="6"/>
      <c r="D428" s="21"/>
      <c r="E428" s="22"/>
      <c r="F428" s="22"/>
      <c r="G428" s="22"/>
      <c r="H428" s="22"/>
    </row>
    <row r="429">
      <c r="A429" s="11"/>
      <c r="B429" s="11"/>
      <c r="C429" s="11"/>
      <c r="D429" s="24"/>
      <c r="E429" s="25"/>
      <c r="F429" s="25"/>
      <c r="G429" s="25"/>
      <c r="H429" s="25"/>
    </row>
    <row r="430">
      <c r="A430" s="6"/>
      <c r="B430" s="6"/>
      <c r="C430" s="6"/>
      <c r="D430" s="21"/>
      <c r="E430" s="22"/>
      <c r="F430" s="22"/>
      <c r="G430" s="22"/>
      <c r="H430" s="22"/>
    </row>
    <row r="431">
      <c r="A431" s="11"/>
      <c r="B431" s="11"/>
      <c r="C431" s="11"/>
      <c r="D431" s="24"/>
      <c r="E431" s="25"/>
      <c r="F431" s="25"/>
      <c r="G431" s="25"/>
      <c r="H431" s="25"/>
    </row>
    <row r="432">
      <c r="A432" s="6"/>
      <c r="B432" s="6"/>
      <c r="C432" s="6"/>
      <c r="D432" s="21"/>
      <c r="E432" s="22"/>
      <c r="F432" s="22"/>
      <c r="G432" s="22"/>
      <c r="H432" s="22"/>
    </row>
    <row r="433">
      <c r="A433" s="11"/>
      <c r="B433" s="11"/>
      <c r="C433" s="11"/>
      <c r="D433" s="24"/>
      <c r="E433" s="25"/>
      <c r="F433" s="25"/>
      <c r="G433" s="25"/>
      <c r="H433" s="25"/>
    </row>
    <row r="434">
      <c r="A434" s="6"/>
      <c r="B434" s="6"/>
      <c r="C434" s="6"/>
      <c r="D434" s="21"/>
      <c r="E434" s="22"/>
      <c r="F434" s="22"/>
      <c r="G434" s="22"/>
      <c r="H434" s="22"/>
    </row>
    <row r="435">
      <c r="A435" s="11"/>
      <c r="B435" s="11"/>
      <c r="C435" s="11"/>
      <c r="D435" s="24"/>
      <c r="E435" s="25"/>
      <c r="F435" s="25"/>
      <c r="G435" s="25"/>
      <c r="H435" s="25"/>
    </row>
    <row r="436">
      <c r="A436" s="6"/>
      <c r="B436" s="6"/>
      <c r="C436" s="6"/>
      <c r="D436" s="21"/>
      <c r="E436" s="22"/>
      <c r="F436" s="22"/>
      <c r="G436" s="22"/>
      <c r="H436" s="22"/>
    </row>
    <row r="437">
      <c r="A437" s="11"/>
      <c r="B437" s="11"/>
      <c r="C437" s="11"/>
      <c r="D437" s="24"/>
      <c r="E437" s="25"/>
      <c r="F437" s="25"/>
      <c r="G437" s="25"/>
      <c r="H437" s="25"/>
    </row>
    <row r="438">
      <c r="A438" s="6"/>
      <c r="B438" s="6"/>
      <c r="C438" s="6"/>
      <c r="D438" s="21"/>
      <c r="E438" s="22"/>
      <c r="F438" s="22"/>
      <c r="G438" s="22"/>
      <c r="H438" s="22"/>
    </row>
    <row r="439">
      <c r="A439" s="11"/>
      <c r="B439" s="11"/>
      <c r="C439" s="11"/>
      <c r="D439" s="24"/>
      <c r="E439" s="25"/>
      <c r="F439" s="25"/>
      <c r="G439" s="25"/>
      <c r="H439" s="25"/>
    </row>
    <row r="440">
      <c r="A440" s="6"/>
      <c r="B440" s="6"/>
      <c r="C440" s="6"/>
      <c r="D440" s="21"/>
      <c r="E440" s="22"/>
      <c r="F440" s="22"/>
      <c r="G440" s="22"/>
      <c r="H440" s="22"/>
    </row>
    <row r="441">
      <c r="A441" s="11"/>
      <c r="B441" s="11"/>
      <c r="C441" s="11"/>
      <c r="D441" s="24"/>
      <c r="E441" s="25"/>
      <c r="F441" s="25"/>
      <c r="G441" s="25"/>
      <c r="H441" s="25"/>
    </row>
    <row r="442">
      <c r="A442" s="6"/>
      <c r="B442" s="6"/>
      <c r="C442" s="6"/>
      <c r="D442" s="21"/>
      <c r="E442" s="22"/>
      <c r="F442" s="22"/>
      <c r="G442" s="22"/>
      <c r="H442" s="22"/>
    </row>
    <row r="443">
      <c r="A443" s="11"/>
      <c r="B443" s="11"/>
      <c r="C443" s="11"/>
      <c r="D443" s="24"/>
      <c r="E443" s="25"/>
      <c r="F443" s="25"/>
      <c r="G443" s="25"/>
      <c r="H443" s="25"/>
    </row>
    <row r="444">
      <c r="A444" s="6"/>
      <c r="B444" s="6"/>
      <c r="C444" s="6"/>
      <c r="D444" s="21"/>
      <c r="E444" s="22"/>
      <c r="F444" s="22"/>
      <c r="G444" s="22"/>
      <c r="H444" s="22"/>
    </row>
    <row r="445">
      <c r="A445" s="11"/>
      <c r="B445" s="11"/>
      <c r="C445" s="11"/>
      <c r="D445" s="24"/>
      <c r="E445" s="25"/>
      <c r="F445" s="25"/>
      <c r="G445" s="25"/>
      <c r="H445" s="25"/>
    </row>
    <row r="446">
      <c r="A446" s="6"/>
      <c r="B446" s="6"/>
      <c r="C446" s="6"/>
      <c r="D446" s="21"/>
      <c r="E446" s="22"/>
      <c r="F446" s="22"/>
      <c r="G446" s="22"/>
      <c r="H446" s="22"/>
    </row>
    <row r="447">
      <c r="A447" s="11"/>
      <c r="B447" s="11"/>
      <c r="C447" s="11"/>
      <c r="D447" s="24"/>
      <c r="E447" s="25"/>
      <c r="F447" s="25"/>
      <c r="G447" s="25"/>
      <c r="H447" s="25"/>
    </row>
    <row r="448">
      <c r="A448" s="6"/>
      <c r="B448" s="6"/>
      <c r="C448" s="6"/>
      <c r="D448" s="21"/>
      <c r="E448" s="22"/>
      <c r="F448" s="22"/>
      <c r="G448" s="22"/>
      <c r="H448" s="22"/>
    </row>
    <row r="449">
      <c r="A449" s="11"/>
      <c r="B449" s="11"/>
      <c r="C449" s="11"/>
      <c r="D449" s="24"/>
      <c r="E449" s="25"/>
      <c r="F449" s="25"/>
      <c r="G449" s="25"/>
      <c r="H449" s="25"/>
    </row>
    <row r="450">
      <c r="A450" s="6"/>
      <c r="B450" s="6"/>
      <c r="C450" s="6"/>
      <c r="D450" s="21"/>
      <c r="E450" s="22"/>
      <c r="F450" s="22"/>
      <c r="G450" s="22"/>
      <c r="H450" s="22"/>
    </row>
    <row r="451">
      <c r="A451" s="11"/>
      <c r="B451" s="11"/>
      <c r="C451" s="11"/>
      <c r="D451" s="24"/>
      <c r="E451" s="25"/>
      <c r="F451" s="25"/>
      <c r="G451" s="25"/>
      <c r="H451" s="25"/>
    </row>
    <row r="452">
      <c r="A452" s="6"/>
      <c r="B452" s="6"/>
      <c r="C452" s="6"/>
      <c r="D452" s="21"/>
      <c r="E452" s="22"/>
      <c r="F452" s="22"/>
      <c r="G452" s="22"/>
      <c r="H452" s="22"/>
    </row>
    <row r="453">
      <c r="A453" s="11"/>
      <c r="B453" s="11"/>
      <c r="C453" s="11"/>
      <c r="D453" s="24"/>
      <c r="E453" s="25"/>
      <c r="F453" s="25"/>
      <c r="G453" s="25"/>
      <c r="H453" s="25"/>
    </row>
    <row r="454">
      <c r="A454" s="6"/>
      <c r="B454" s="6"/>
      <c r="C454" s="6"/>
      <c r="D454" s="21"/>
      <c r="E454" s="22"/>
      <c r="F454" s="22"/>
      <c r="G454" s="22"/>
      <c r="H454" s="22"/>
    </row>
    <row r="455">
      <c r="A455" s="11"/>
      <c r="B455" s="11"/>
      <c r="C455" s="11"/>
      <c r="D455" s="24"/>
      <c r="E455" s="25"/>
      <c r="F455" s="25"/>
      <c r="G455" s="25"/>
      <c r="H455" s="25"/>
    </row>
    <row r="456">
      <c r="A456" s="6"/>
      <c r="B456" s="6"/>
      <c r="C456" s="6"/>
      <c r="D456" s="21"/>
      <c r="E456" s="22"/>
      <c r="F456" s="22"/>
      <c r="G456" s="22"/>
      <c r="H456" s="22"/>
    </row>
    <row r="457">
      <c r="A457" s="11"/>
      <c r="B457" s="11"/>
      <c r="C457" s="11"/>
      <c r="D457" s="24"/>
      <c r="E457" s="25"/>
      <c r="F457" s="25"/>
      <c r="G457" s="25"/>
      <c r="H457" s="25"/>
    </row>
    <row r="458">
      <c r="A458" s="6"/>
      <c r="B458" s="6"/>
      <c r="C458" s="6"/>
      <c r="D458" s="21"/>
      <c r="E458" s="22"/>
      <c r="F458" s="22"/>
      <c r="G458" s="22"/>
      <c r="H458" s="22"/>
    </row>
    <row r="459">
      <c r="A459" s="11"/>
      <c r="B459" s="11"/>
      <c r="C459" s="11"/>
      <c r="D459" s="24"/>
      <c r="E459" s="25"/>
      <c r="F459" s="25"/>
      <c r="G459" s="25"/>
      <c r="H459" s="25"/>
    </row>
    <row r="460">
      <c r="A460" s="6"/>
      <c r="B460" s="6"/>
      <c r="C460" s="6"/>
      <c r="D460" s="21"/>
      <c r="E460" s="22"/>
      <c r="F460" s="22"/>
      <c r="G460" s="22"/>
      <c r="H460" s="22"/>
    </row>
    <row r="461">
      <c r="A461" s="11"/>
      <c r="B461" s="11"/>
      <c r="C461" s="11"/>
      <c r="D461" s="24"/>
      <c r="E461" s="25"/>
      <c r="F461" s="25"/>
      <c r="G461" s="25"/>
      <c r="H461" s="25"/>
    </row>
    <row r="462">
      <c r="A462" s="6"/>
      <c r="B462" s="6"/>
      <c r="C462" s="6"/>
      <c r="D462" s="21"/>
      <c r="E462" s="22"/>
      <c r="F462" s="22"/>
      <c r="G462" s="22"/>
      <c r="H462" s="22"/>
    </row>
    <row r="463">
      <c r="A463" s="11"/>
      <c r="B463" s="11"/>
      <c r="C463" s="11"/>
      <c r="D463" s="24"/>
      <c r="E463" s="25"/>
      <c r="F463" s="25"/>
      <c r="G463" s="25"/>
      <c r="H463" s="25"/>
    </row>
    <row r="464">
      <c r="A464" s="6"/>
      <c r="B464" s="6"/>
      <c r="C464" s="6"/>
      <c r="D464" s="21"/>
      <c r="E464" s="22"/>
      <c r="F464" s="22"/>
      <c r="G464" s="22"/>
      <c r="H464" s="22"/>
    </row>
    <row r="465">
      <c r="A465" s="11"/>
      <c r="B465" s="11"/>
      <c r="C465" s="11"/>
      <c r="D465" s="24"/>
      <c r="E465" s="25"/>
      <c r="F465" s="25"/>
      <c r="G465" s="25"/>
      <c r="H465" s="25"/>
    </row>
    <row r="466">
      <c r="A466" s="6"/>
      <c r="B466" s="6"/>
      <c r="C466" s="6"/>
      <c r="D466" s="21"/>
      <c r="E466" s="22"/>
      <c r="F466" s="22"/>
      <c r="G466" s="22"/>
      <c r="H466" s="22"/>
    </row>
    <row r="467">
      <c r="A467" s="11"/>
      <c r="B467" s="11"/>
      <c r="C467" s="11"/>
      <c r="D467" s="24"/>
      <c r="E467" s="25"/>
      <c r="F467" s="25"/>
      <c r="G467" s="25"/>
      <c r="H467" s="25"/>
    </row>
    <row r="468">
      <c r="A468" s="6"/>
      <c r="B468" s="6"/>
      <c r="C468" s="6"/>
      <c r="D468" s="21"/>
      <c r="E468" s="22"/>
      <c r="F468" s="22"/>
      <c r="G468" s="22"/>
      <c r="H468" s="22"/>
    </row>
    <row r="469">
      <c r="A469" s="11"/>
      <c r="B469" s="11"/>
      <c r="C469" s="11"/>
      <c r="D469" s="24"/>
      <c r="E469" s="25"/>
      <c r="F469" s="25"/>
      <c r="G469" s="25"/>
      <c r="H469" s="25"/>
    </row>
    <row r="470">
      <c r="A470" s="6"/>
      <c r="B470" s="6"/>
      <c r="C470" s="6"/>
      <c r="D470" s="21"/>
      <c r="E470" s="22"/>
      <c r="F470" s="22"/>
      <c r="G470" s="22"/>
      <c r="H470" s="22"/>
    </row>
    <row r="471">
      <c r="A471" s="11"/>
      <c r="B471" s="11"/>
      <c r="C471" s="11"/>
      <c r="D471" s="24"/>
      <c r="E471" s="25"/>
      <c r="F471" s="25"/>
      <c r="G471" s="25"/>
      <c r="H471" s="25"/>
    </row>
    <row r="472">
      <c r="A472" s="6"/>
      <c r="B472" s="6"/>
      <c r="C472" s="6"/>
      <c r="D472" s="21"/>
      <c r="E472" s="22"/>
      <c r="F472" s="22"/>
      <c r="G472" s="22"/>
      <c r="H472" s="22"/>
    </row>
    <row r="473">
      <c r="A473" s="11"/>
      <c r="B473" s="11"/>
      <c r="C473" s="11"/>
      <c r="D473" s="24"/>
      <c r="E473" s="25"/>
      <c r="F473" s="25"/>
      <c r="G473" s="25"/>
      <c r="H473" s="25"/>
    </row>
    <row r="474">
      <c r="A474" s="6"/>
      <c r="B474" s="6"/>
      <c r="C474" s="6"/>
      <c r="D474" s="21"/>
      <c r="E474" s="22"/>
      <c r="F474" s="22"/>
      <c r="G474" s="22"/>
      <c r="H474" s="22"/>
    </row>
    <row r="475">
      <c r="A475" s="11"/>
      <c r="B475" s="11"/>
      <c r="C475" s="11"/>
      <c r="D475" s="24"/>
      <c r="E475" s="25"/>
      <c r="F475" s="25"/>
      <c r="G475" s="25"/>
      <c r="H475" s="25"/>
    </row>
    <row r="476">
      <c r="A476" s="6"/>
      <c r="B476" s="6"/>
      <c r="C476" s="6"/>
      <c r="D476" s="21"/>
      <c r="E476" s="22"/>
      <c r="F476" s="22"/>
      <c r="G476" s="22"/>
      <c r="H476" s="22"/>
    </row>
    <row r="477">
      <c r="A477" s="11"/>
      <c r="B477" s="11"/>
      <c r="C477" s="11"/>
      <c r="D477" s="24"/>
      <c r="E477" s="25"/>
      <c r="F477" s="25"/>
      <c r="G477" s="25"/>
      <c r="H477" s="25"/>
    </row>
    <row r="478">
      <c r="A478" s="6"/>
      <c r="B478" s="6"/>
      <c r="C478" s="6"/>
      <c r="D478" s="21"/>
      <c r="E478" s="22"/>
      <c r="F478" s="22"/>
      <c r="G478" s="22"/>
      <c r="H478" s="22"/>
    </row>
    <row r="479">
      <c r="A479" s="11"/>
      <c r="B479" s="11"/>
      <c r="C479" s="11"/>
      <c r="D479" s="24"/>
      <c r="E479" s="25"/>
      <c r="F479" s="25"/>
      <c r="G479" s="25"/>
      <c r="H479" s="25"/>
    </row>
    <row r="480">
      <c r="A480" s="6"/>
      <c r="B480" s="6"/>
      <c r="C480" s="6"/>
      <c r="D480" s="21"/>
      <c r="E480" s="22"/>
      <c r="F480" s="22"/>
      <c r="G480" s="22"/>
      <c r="H480" s="22"/>
    </row>
    <row r="481">
      <c r="A481" s="11"/>
      <c r="B481" s="11"/>
      <c r="C481" s="11"/>
      <c r="D481" s="24"/>
      <c r="E481" s="25"/>
      <c r="F481" s="25"/>
      <c r="G481" s="25"/>
      <c r="H481" s="25"/>
    </row>
    <row r="482">
      <c r="A482" s="6"/>
      <c r="B482" s="6"/>
      <c r="C482" s="6"/>
      <c r="D482" s="21"/>
      <c r="E482" s="22"/>
      <c r="F482" s="22"/>
      <c r="G482" s="22"/>
      <c r="H482" s="22"/>
    </row>
    <row r="483">
      <c r="A483" s="11"/>
      <c r="B483" s="11"/>
      <c r="C483" s="11"/>
      <c r="D483" s="24"/>
      <c r="E483" s="25"/>
      <c r="F483" s="25"/>
      <c r="G483" s="25"/>
      <c r="H483" s="25"/>
    </row>
    <row r="484">
      <c r="A484" s="6"/>
      <c r="B484" s="6"/>
      <c r="C484" s="6"/>
      <c r="D484" s="21"/>
      <c r="E484" s="22"/>
      <c r="F484" s="22"/>
      <c r="G484" s="22"/>
      <c r="H484" s="22"/>
    </row>
    <row r="485">
      <c r="A485" s="11"/>
      <c r="B485" s="11"/>
      <c r="C485" s="11"/>
      <c r="D485" s="24"/>
      <c r="E485" s="25"/>
      <c r="F485" s="25"/>
      <c r="G485" s="25"/>
      <c r="H485" s="25"/>
    </row>
    <row r="486">
      <c r="A486" s="6"/>
      <c r="B486" s="6"/>
      <c r="C486" s="6"/>
      <c r="D486" s="21"/>
      <c r="E486" s="22"/>
      <c r="F486" s="22"/>
      <c r="G486" s="22"/>
      <c r="H486" s="22"/>
    </row>
    <row r="487">
      <c r="A487" s="11"/>
      <c r="B487" s="11"/>
      <c r="C487" s="11"/>
      <c r="D487" s="24"/>
      <c r="E487" s="25"/>
      <c r="F487" s="25"/>
      <c r="G487" s="25"/>
      <c r="H487" s="25"/>
    </row>
    <row r="488">
      <c r="A488" s="6"/>
      <c r="B488" s="6"/>
      <c r="C488" s="6"/>
      <c r="D488" s="21"/>
      <c r="E488" s="22"/>
      <c r="F488" s="22"/>
      <c r="G488" s="22"/>
      <c r="H488" s="22"/>
    </row>
    <row r="489">
      <c r="A489" s="11"/>
      <c r="B489" s="11"/>
      <c r="C489" s="11"/>
      <c r="D489" s="24"/>
      <c r="E489" s="25"/>
      <c r="F489" s="25"/>
      <c r="G489" s="25"/>
      <c r="H489" s="25"/>
    </row>
    <row r="490">
      <c r="A490" s="6"/>
      <c r="B490" s="6"/>
      <c r="C490" s="6"/>
      <c r="D490" s="21"/>
      <c r="E490" s="22"/>
      <c r="F490" s="22"/>
      <c r="G490" s="22"/>
      <c r="H490" s="22"/>
    </row>
    <row r="491">
      <c r="A491" s="11"/>
      <c r="B491" s="11"/>
      <c r="C491" s="11"/>
      <c r="D491" s="24"/>
      <c r="E491" s="25"/>
      <c r="F491" s="25"/>
      <c r="G491" s="25"/>
      <c r="H491" s="25"/>
    </row>
    <row r="492">
      <c r="A492" s="6"/>
      <c r="B492" s="6"/>
      <c r="C492" s="6"/>
      <c r="D492" s="21"/>
      <c r="E492" s="22"/>
      <c r="F492" s="22"/>
      <c r="G492" s="22"/>
      <c r="H492" s="22"/>
    </row>
    <row r="493">
      <c r="A493" s="11"/>
      <c r="B493" s="11"/>
      <c r="C493" s="11"/>
      <c r="D493" s="24"/>
      <c r="E493" s="25"/>
      <c r="F493" s="25"/>
      <c r="G493" s="25"/>
      <c r="H493" s="25"/>
    </row>
    <row r="494">
      <c r="A494" s="6"/>
      <c r="B494" s="6"/>
      <c r="C494" s="6"/>
      <c r="D494" s="21"/>
      <c r="E494" s="22"/>
      <c r="F494" s="22"/>
      <c r="G494" s="22"/>
      <c r="H494" s="22"/>
    </row>
    <row r="495">
      <c r="A495" s="11"/>
      <c r="B495" s="11"/>
      <c r="C495" s="11"/>
      <c r="D495" s="24"/>
      <c r="E495" s="25"/>
      <c r="F495" s="25"/>
      <c r="G495" s="25"/>
      <c r="H495" s="25"/>
    </row>
    <row r="496">
      <c r="A496" s="6"/>
      <c r="B496" s="6"/>
      <c r="C496" s="6"/>
      <c r="D496" s="21"/>
      <c r="E496" s="22"/>
      <c r="F496" s="22"/>
      <c r="G496" s="22"/>
      <c r="H496" s="22"/>
    </row>
    <row r="497">
      <c r="A497" s="11"/>
      <c r="B497" s="11"/>
      <c r="C497" s="11"/>
      <c r="D497" s="24"/>
      <c r="E497" s="25"/>
      <c r="F497" s="25"/>
      <c r="G497" s="25"/>
      <c r="H497" s="25"/>
    </row>
    <row r="498">
      <c r="A498" s="6"/>
      <c r="B498" s="6"/>
      <c r="C498" s="6"/>
      <c r="D498" s="21"/>
      <c r="E498" s="22"/>
      <c r="F498" s="22"/>
      <c r="G498" s="22"/>
      <c r="H498" s="22"/>
    </row>
    <row r="499">
      <c r="A499" s="11"/>
      <c r="B499" s="11"/>
      <c r="C499" s="11"/>
      <c r="D499" s="24"/>
      <c r="E499" s="25"/>
      <c r="F499" s="25"/>
      <c r="G499" s="25"/>
      <c r="H499" s="25"/>
    </row>
    <row r="500">
      <c r="A500" s="6"/>
      <c r="B500" s="6"/>
      <c r="C500" s="6"/>
      <c r="D500" s="21"/>
      <c r="E500" s="22"/>
      <c r="F500" s="22"/>
      <c r="G500" s="22"/>
      <c r="H500" s="22"/>
    </row>
    <row r="501">
      <c r="A501" s="11"/>
      <c r="B501" s="11"/>
      <c r="C501" s="11"/>
      <c r="D501" s="24"/>
      <c r="E501" s="25"/>
      <c r="F501" s="25"/>
      <c r="G501" s="25"/>
      <c r="H501" s="25"/>
    </row>
    <row r="502">
      <c r="A502" s="6"/>
      <c r="B502" s="6"/>
      <c r="C502" s="6"/>
      <c r="D502" s="21"/>
      <c r="E502" s="22"/>
      <c r="F502" s="22"/>
      <c r="G502" s="22"/>
      <c r="H502" s="22"/>
    </row>
    <row r="503">
      <c r="A503" s="11"/>
      <c r="B503" s="11"/>
      <c r="C503" s="11"/>
      <c r="D503" s="24"/>
      <c r="E503" s="25"/>
      <c r="F503" s="25"/>
      <c r="G503" s="25"/>
      <c r="H503" s="25"/>
    </row>
    <row r="504">
      <c r="A504" s="6"/>
      <c r="B504" s="6"/>
      <c r="C504" s="6"/>
      <c r="D504" s="21"/>
      <c r="E504" s="22"/>
      <c r="F504" s="22"/>
      <c r="G504" s="22"/>
      <c r="H504" s="22"/>
    </row>
    <row r="505">
      <c r="A505" s="11"/>
      <c r="B505" s="11"/>
      <c r="C505" s="11"/>
      <c r="D505" s="24"/>
      <c r="E505" s="25"/>
      <c r="F505" s="25"/>
      <c r="G505" s="25"/>
      <c r="H505" s="25"/>
    </row>
    <row r="506">
      <c r="A506" s="6"/>
      <c r="B506" s="6"/>
      <c r="C506" s="6"/>
      <c r="D506" s="21"/>
      <c r="E506" s="22"/>
      <c r="F506" s="22"/>
      <c r="G506" s="22"/>
      <c r="H506" s="22"/>
    </row>
    <row r="507">
      <c r="A507" s="11"/>
      <c r="B507" s="11"/>
      <c r="C507" s="11"/>
      <c r="D507" s="24"/>
      <c r="E507" s="25"/>
      <c r="F507" s="25"/>
      <c r="G507" s="25"/>
      <c r="H507" s="25"/>
    </row>
    <row r="508">
      <c r="A508" s="6"/>
      <c r="B508" s="6"/>
      <c r="C508" s="6"/>
      <c r="D508" s="21"/>
      <c r="E508" s="22"/>
      <c r="F508" s="22"/>
      <c r="G508" s="22"/>
      <c r="H508" s="22"/>
    </row>
    <row r="509">
      <c r="A509" s="11"/>
      <c r="B509" s="11"/>
      <c r="C509" s="11"/>
      <c r="D509" s="24"/>
      <c r="E509" s="25"/>
      <c r="F509" s="25"/>
      <c r="G509" s="25"/>
      <c r="H509" s="25"/>
    </row>
    <row r="510">
      <c r="A510" s="6"/>
      <c r="B510" s="6"/>
      <c r="C510" s="6"/>
      <c r="D510" s="21"/>
      <c r="E510" s="22"/>
      <c r="F510" s="22"/>
      <c r="G510" s="22"/>
      <c r="H510" s="22"/>
    </row>
    <row r="511">
      <c r="A511" s="11"/>
      <c r="B511" s="11"/>
      <c r="C511" s="11"/>
      <c r="D511" s="24"/>
      <c r="E511" s="25"/>
      <c r="F511" s="25"/>
      <c r="G511" s="25"/>
      <c r="H511" s="25"/>
    </row>
    <row r="512">
      <c r="A512" s="6"/>
      <c r="B512" s="6"/>
      <c r="C512" s="6"/>
      <c r="D512" s="21"/>
      <c r="E512" s="22"/>
      <c r="F512" s="22"/>
      <c r="G512" s="22"/>
      <c r="H512" s="22"/>
    </row>
    <row r="513">
      <c r="A513" s="11"/>
      <c r="B513" s="11"/>
      <c r="C513" s="11"/>
      <c r="D513" s="24"/>
      <c r="E513" s="25"/>
      <c r="F513" s="25"/>
      <c r="G513" s="25"/>
      <c r="H513" s="25"/>
    </row>
    <row r="514">
      <c r="A514" s="6"/>
      <c r="B514" s="6"/>
      <c r="C514" s="6"/>
      <c r="D514" s="21"/>
      <c r="E514" s="22"/>
      <c r="F514" s="22"/>
      <c r="G514" s="22"/>
      <c r="H514" s="22"/>
    </row>
    <row r="515">
      <c r="A515" s="11"/>
      <c r="B515" s="11"/>
      <c r="C515" s="11"/>
      <c r="D515" s="24"/>
      <c r="E515" s="25"/>
      <c r="F515" s="25"/>
      <c r="G515" s="25"/>
      <c r="H515" s="25"/>
    </row>
    <row r="516">
      <c r="A516" s="6"/>
      <c r="B516" s="6"/>
      <c r="C516" s="6"/>
      <c r="D516" s="21"/>
      <c r="E516" s="22"/>
      <c r="F516" s="22"/>
      <c r="G516" s="22"/>
      <c r="H516" s="22"/>
    </row>
    <row r="517">
      <c r="A517" s="11"/>
      <c r="B517" s="11"/>
      <c r="C517" s="11"/>
      <c r="D517" s="24"/>
      <c r="E517" s="25"/>
      <c r="F517" s="25"/>
      <c r="G517" s="25"/>
      <c r="H517" s="25"/>
    </row>
    <row r="518">
      <c r="A518" s="6"/>
      <c r="B518" s="6"/>
      <c r="C518" s="6"/>
      <c r="D518" s="21"/>
      <c r="E518" s="22"/>
      <c r="F518" s="22"/>
      <c r="G518" s="22"/>
      <c r="H518" s="22"/>
    </row>
    <row r="519">
      <c r="A519" s="11"/>
      <c r="B519" s="11"/>
      <c r="C519" s="11"/>
      <c r="D519" s="24"/>
      <c r="E519" s="25"/>
      <c r="F519" s="25"/>
      <c r="G519" s="25"/>
      <c r="H519" s="25"/>
    </row>
    <row r="520">
      <c r="A520" s="6"/>
      <c r="B520" s="6"/>
      <c r="C520" s="6"/>
      <c r="D520" s="21"/>
      <c r="E520" s="22"/>
      <c r="F520" s="22"/>
      <c r="G520" s="22"/>
      <c r="H520" s="22"/>
    </row>
    <row r="521">
      <c r="A521" s="11"/>
      <c r="B521" s="11"/>
      <c r="C521" s="11"/>
      <c r="D521" s="24"/>
      <c r="E521" s="25"/>
      <c r="F521" s="25"/>
      <c r="G521" s="25"/>
      <c r="H521" s="25"/>
    </row>
    <row r="522">
      <c r="A522" s="6"/>
      <c r="B522" s="6"/>
      <c r="C522" s="6"/>
      <c r="D522" s="21"/>
      <c r="E522" s="22"/>
      <c r="F522" s="22"/>
      <c r="G522" s="22"/>
      <c r="H522" s="22"/>
    </row>
    <row r="523">
      <c r="A523" s="11"/>
      <c r="B523" s="11"/>
      <c r="C523" s="11"/>
      <c r="D523" s="24"/>
      <c r="E523" s="25"/>
      <c r="F523" s="25"/>
      <c r="G523" s="25"/>
      <c r="H523" s="25"/>
    </row>
    <row r="524">
      <c r="A524" s="6"/>
      <c r="B524" s="6"/>
      <c r="C524" s="6"/>
      <c r="D524" s="21"/>
      <c r="E524" s="22"/>
      <c r="F524" s="22"/>
      <c r="G524" s="22"/>
      <c r="H524" s="22"/>
    </row>
    <row r="525">
      <c r="A525" s="11"/>
      <c r="B525" s="11"/>
      <c r="C525" s="11"/>
      <c r="D525" s="24"/>
      <c r="E525" s="25"/>
      <c r="F525" s="25"/>
      <c r="G525" s="25"/>
      <c r="H525" s="25"/>
    </row>
    <row r="526">
      <c r="A526" s="6"/>
      <c r="B526" s="6"/>
      <c r="C526" s="6"/>
      <c r="D526" s="21"/>
      <c r="E526" s="22"/>
      <c r="F526" s="22"/>
      <c r="G526" s="22"/>
      <c r="H526" s="22"/>
    </row>
    <row r="527">
      <c r="A527" s="11"/>
      <c r="B527" s="11"/>
      <c r="C527" s="11"/>
      <c r="D527" s="24"/>
      <c r="E527" s="25"/>
      <c r="F527" s="25"/>
      <c r="G527" s="25"/>
      <c r="H527" s="25"/>
    </row>
    <row r="528">
      <c r="A528" s="6"/>
      <c r="B528" s="6"/>
      <c r="C528" s="6"/>
      <c r="D528" s="21"/>
      <c r="E528" s="22"/>
      <c r="F528" s="22"/>
      <c r="G528" s="22"/>
      <c r="H528" s="22"/>
    </row>
    <row r="529">
      <c r="A529" s="11"/>
      <c r="B529" s="11"/>
      <c r="C529" s="11"/>
      <c r="D529" s="24"/>
      <c r="E529" s="25"/>
      <c r="F529" s="25"/>
      <c r="G529" s="25"/>
      <c r="H529" s="25"/>
    </row>
    <row r="530">
      <c r="A530" s="6"/>
      <c r="B530" s="6"/>
      <c r="C530" s="6"/>
      <c r="D530" s="21"/>
      <c r="E530" s="22"/>
      <c r="F530" s="22"/>
      <c r="G530" s="22"/>
      <c r="H530" s="22"/>
    </row>
    <row r="531">
      <c r="A531" s="11"/>
      <c r="B531" s="11"/>
      <c r="C531" s="11"/>
      <c r="D531" s="24"/>
      <c r="E531" s="25"/>
      <c r="F531" s="25"/>
      <c r="G531" s="25"/>
      <c r="H531" s="25"/>
    </row>
    <row r="532">
      <c r="A532" s="6"/>
      <c r="B532" s="6"/>
      <c r="C532" s="6"/>
      <c r="D532" s="21"/>
      <c r="E532" s="22"/>
      <c r="F532" s="22"/>
      <c r="G532" s="22"/>
      <c r="H532" s="22"/>
    </row>
    <row r="533">
      <c r="A533" s="11"/>
      <c r="B533" s="11"/>
      <c r="C533" s="11"/>
      <c r="D533" s="24"/>
      <c r="E533" s="25"/>
      <c r="F533" s="25"/>
      <c r="G533" s="25"/>
      <c r="H533" s="25"/>
    </row>
    <row r="534">
      <c r="A534" s="6"/>
      <c r="B534" s="6"/>
      <c r="C534" s="6"/>
      <c r="D534" s="21"/>
      <c r="E534" s="22"/>
      <c r="F534" s="22"/>
      <c r="G534" s="22"/>
      <c r="H534" s="22"/>
    </row>
    <row r="535">
      <c r="A535" s="11"/>
      <c r="B535" s="11"/>
      <c r="C535" s="11"/>
      <c r="D535" s="24"/>
      <c r="E535" s="25"/>
      <c r="F535" s="25"/>
      <c r="G535" s="25"/>
      <c r="H535" s="25"/>
    </row>
    <row r="536">
      <c r="A536" s="6"/>
      <c r="B536" s="6"/>
      <c r="C536" s="6"/>
      <c r="D536" s="21"/>
      <c r="E536" s="22"/>
      <c r="F536" s="22"/>
      <c r="G536" s="22"/>
      <c r="H536" s="22"/>
    </row>
    <row r="537">
      <c r="A537" s="11"/>
      <c r="B537" s="11"/>
      <c r="C537" s="11"/>
      <c r="D537" s="24"/>
      <c r="E537" s="25"/>
      <c r="F537" s="25"/>
      <c r="G537" s="25"/>
      <c r="H537" s="25"/>
    </row>
    <row r="538">
      <c r="A538" s="6"/>
      <c r="B538" s="6"/>
      <c r="C538" s="6"/>
      <c r="D538" s="21"/>
      <c r="E538" s="22"/>
      <c r="F538" s="22"/>
      <c r="G538" s="22"/>
      <c r="H538" s="22"/>
    </row>
    <row r="539">
      <c r="A539" s="11"/>
      <c r="B539" s="11"/>
      <c r="C539" s="11"/>
      <c r="D539" s="24"/>
      <c r="E539" s="25"/>
      <c r="F539" s="25"/>
      <c r="G539" s="25"/>
      <c r="H539" s="25"/>
    </row>
    <row r="540">
      <c r="A540" s="6"/>
      <c r="B540" s="6"/>
      <c r="C540" s="6"/>
      <c r="D540" s="21"/>
      <c r="E540" s="22"/>
      <c r="F540" s="22"/>
      <c r="G540" s="22"/>
      <c r="H540" s="22"/>
    </row>
    <row r="541">
      <c r="A541" s="11"/>
      <c r="B541" s="11"/>
      <c r="C541" s="11"/>
      <c r="D541" s="24"/>
      <c r="E541" s="25"/>
      <c r="F541" s="25"/>
      <c r="G541" s="25"/>
      <c r="H541" s="25"/>
    </row>
    <row r="542">
      <c r="A542" s="6"/>
      <c r="B542" s="6"/>
      <c r="C542" s="6"/>
      <c r="D542" s="21"/>
      <c r="E542" s="22"/>
      <c r="F542" s="22"/>
      <c r="G542" s="22"/>
      <c r="H542" s="22"/>
    </row>
    <row r="543">
      <c r="A543" s="11"/>
      <c r="B543" s="11"/>
      <c r="C543" s="11"/>
      <c r="D543" s="24"/>
      <c r="E543" s="25"/>
      <c r="F543" s="25"/>
      <c r="G543" s="25"/>
      <c r="H543" s="25"/>
    </row>
    <row r="544">
      <c r="A544" s="6"/>
      <c r="B544" s="6"/>
      <c r="C544" s="6"/>
      <c r="D544" s="21"/>
      <c r="E544" s="22"/>
      <c r="F544" s="22"/>
      <c r="G544" s="22"/>
      <c r="H544" s="22"/>
    </row>
    <row r="545">
      <c r="A545" s="11"/>
      <c r="B545" s="11"/>
      <c r="C545" s="11"/>
      <c r="D545" s="24"/>
      <c r="E545" s="25"/>
      <c r="F545" s="25"/>
      <c r="G545" s="25"/>
      <c r="H545" s="25"/>
    </row>
    <row r="546">
      <c r="A546" s="6"/>
      <c r="B546" s="6"/>
      <c r="C546" s="6"/>
      <c r="D546" s="21"/>
      <c r="E546" s="22"/>
      <c r="F546" s="22"/>
      <c r="G546" s="22"/>
      <c r="H546" s="22"/>
    </row>
    <row r="547">
      <c r="A547" s="11"/>
      <c r="B547" s="11"/>
      <c r="C547" s="11"/>
      <c r="D547" s="24"/>
      <c r="E547" s="25"/>
      <c r="F547" s="25"/>
      <c r="G547" s="25"/>
      <c r="H547" s="25"/>
    </row>
    <row r="548">
      <c r="A548" s="6"/>
      <c r="B548" s="6"/>
      <c r="C548" s="6"/>
      <c r="D548" s="21"/>
      <c r="E548" s="22"/>
      <c r="F548" s="22"/>
      <c r="G548" s="22"/>
      <c r="H548" s="22"/>
    </row>
    <row r="549">
      <c r="A549" s="11"/>
      <c r="B549" s="11"/>
      <c r="C549" s="11"/>
      <c r="D549" s="24"/>
      <c r="E549" s="25"/>
      <c r="F549" s="25"/>
      <c r="G549" s="25"/>
      <c r="H549" s="25"/>
    </row>
    <row r="550">
      <c r="A550" s="6"/>
      <c r="B550" s="6"/>
      <c r="C550" s="6"/>
      <c r="D550" s="21"/>
      <c r="E550" s="22"/>
      <c r="F550" s="22"/>
      <c r="G550" s="22"/>
      <c r="H550" s="22"/>
    </row>
    <row r="551">
      <c r="A551" s="11"/>
      <c r="B551" s="11"/>
      <c r="C551" s="11"/>
      <c r="D551" s="24"/>
      <c r="E551" s="25"/>
      <c r="F551" s="25"/>
      <c r="G551" s="25"/>
      <c r="H551" s="25"/>
    </row>
    <row r="552">
      <c r="A552" s="6"/>
      <c r="B552" s="6"/>
      <c r="C552" s="6"/>
      <c r="D552" s="21"/>
      <c r="E552" s="22"/>
      <c r="F552" s="22"/>
      <c r="G552" s="22"/>
      <c r="H552" s="22"/>
    </row>
    <row r="553">
      <c r="A553" s="11"/>
      <c r="B553" s="11"/>
      <c r="C553" s="11"/>
      <c r="D553" s="24"/>
      <c r="E553" s="25"/>
      <c r="F553" s="25"/>
      <c r="G553" s="25"/>
      <c r="H553" s="25"/>
    </row>
    <row r="554">
      <c r="A554" s="6"/>
      <c r="B554" s="6"/>
      <c r="C554" s="6"/>
      <c r="D554" s="21"/>
      <c r="E554" s="22"/>
      <c r="F554" s="22"/>
      <c r="G554" s="22"/>
      <c r="H554" s="22"/>
    </row>
    <row r="555">
      <c r="A555" s="11"/>
      <c r="B555" s="11"/>
      <c r="C555" s="11"/>
      <c r="D555" s="24"/>
      <c r="E555" s="25"/>
      <c r="F555" s="25"/>
      <c r="G555" s="25"/>
      <c r="H555" s="25"/>
    </row>
    <row r="556">
      <c r="A556" s="6"/>
      <c r="B556" s="6"/>
      <c r="C556" s="6"/>
      <c r="D556" s="21"/>
      <c r="E556" s="22"/>
      <c r="F556" s="22"/>
      <c r="G556" s="22"/>
      <c r="H556" s="22"/>
    </row>
    <row r="557">
      <c r="A557" s="11"/>
      <c r="B557" s="11"/>
      <c r="C557" s="11"/>
      <c r="D557" s="24"/>
      <c r="E557" s="25"/>
      <c r="F557" s="25"/>
      <c r="G557" s="25"/>
      <c r="H557" s="25"/>
    </row>
    <row r="558">
      <c r="A558" s="6"/>
      <c r="B558" s="6"/>
      <c r="C558" s="6"/>
      <c r="D558" s="21"/>
      <c r="E558" s="22"/>
      <c r="F558" s="22"/>
      <c r="G558" s="22"/>
      <c r="H558" s="22"/>
    </row>
    <row r="559">
      <c r="A559" s="11"/>
      <c r="B559" s="11"/>
      <c r="C559" s="11"/>
      <c r="D559" s="24"/>
      <c r="E559" s="25"/>
      <c r="F559" s="25"/>
      <c r="G559" s="25"/>
      <c r="H559" s="25"/>
    </row>
    <row r="560">
      <c r="A560" s="6"/>
      <c r="B560" s="6"/>
      <c r="C560" s="6"/>
      <c r="D560" s="21"/>
      <c r="E560" s="22"/>
      <c r="F560" s="22"/>
      <c r="G560" s="22"/>
      <c r="H560" s="22"/>
    </row>
    <row r="561">
      <c r="A561" s="11"/>
      <c r="B561" s="11"/>
      <c r="C561" s="11"/>
      <c r="D561" s="24"/>
      <c r="E561" s="25"/>
      <c r="F561" s="25"/>
      <c r="G561" s="25"/>
      <c r="H561" s="25"/>
    </row>
    <row r="562">
      <c r="A562" s="6"/>
      <c r="B562" s="6"/>
      <c r="C562" s="6"/>
      <c r="D562" s="21"/>
      <c r="E562" s="22"/>
      <c r="F562" s="22"/>
      <c r="G562" s="22"/>
      <c r="H562" s="22"/>
    </row>
    <row r="563">
      <c r="A563" s="11"/>
      <c r="B563" s="11"/>
      <c r="C563" s="11"/>
      <c r="D563" s="24"/>
      <c r="E563" s="25"/>
      <c r="F563" s="25"/>
      <c r="G563" s="25"/>
      <c r="H563" s="25"/>
    </row>
    <row r="564">
      <c r="A564" s="6"/>
      <c r="B564" s="6"/>
      <c r="C564" s="6"/>
      <c r="D564" s="21"/>
      <c r="E564" s="22"/>
      <c r="F564" s="22"/>
      <c r="G564" s="22"/>
      <c r="H564" s="22"/>
    </row>
    <row r="565">
      <c r="A565" s="11"/>
      <c r="B565" s="11"/>
      <c r="C565" s="11"/>
      <c r="D565" s="24"/>
      <c r="E565" s="25"/>
      <c r="F565" s="25"/>
      <c r="G565" s="25"/>
      <c r="H565" s="25"/>
    </row>
    <row r="566">
      <c r="A566" s="6"/>
      <c r="B566" s="6"/>
      <c r="C566" s="6"/>
      <c r="D566" s="21"/>
      <c r="E566" s="22"/>
      <c r="F566" s="22"/>
      <c r="G566" s="22"/>
      <c r="H566" s="22"/>
    </row>
    <row r="567">
      <c r="A567" s="11"/>
      <c r="B567" s="11"/>
      <c r="C567" s="11"/>
      <c r="D567" s="24"/>
      <c r="E567" s="25"/>
      <c r="F567" s="25"/>
      <c r="G567" s="25"/>
      <c r="H567" s="25"/>
    </row>
    <row r="568">
      <c r="A568" s="6"/>
      <c r="B568" s="6"/>
      <c r="C568" s="6"/>
      <c r="D568" s="21"/>
      <c r="E568" s="22"/>
      <c r="F568" s="22"/>
      <c r="G568" s="22"/>
      <c r="H568" s="22"/>
    </row>
    <row r="569">
      <c r="A569" s="11"/>
      <c r="B569" s="11"/>
      <c r="C569" s="11"/>
      <c r="D569" s="24"/>
      <c r="E569" s="25"/>
      <c r="F569" s="25"/>
      <c r="G569" s="25"/>
      <c r="H569" s="25"/>
    </row>
    <row r="570">
      <c r="A570" s="6"/>
      <c r="B570" s="6"/>
      <c r="C570" s="6"/>
      <c r="D570" s="21"/>
      <c r="E570" s="22"/>
      <c r="F570" s="22"/>
      <c r="G570" s="22"/>
      <c r="H570" s="22"/>
    </row>
    <row r="571">
      <c r="A571" s="11"/>
      <c r="B571" s="11"/>
      <c r="C571" s="11"/>
      <c r="D571" s="24"/>
      <c r="E571" s="25"/>
      <c r="F571" s="25"/>
      <c r="G571" s="25"/>
      <c r="H571" s="25"/>
    </row>
    <row r="572">
      <c r="A572" s="6"/>
      <c r="B572" s="6"/>
      <c r="C572" s="6"/>
      <c r="D572" s="21"/>
      <c r="E572" s="22"/>
      <c r="F572" s="22"/>
      <c r="G572" s="22"/>
      <c r="H572" s="22"/>
    </row>
    <row r="573">
      <c r="A573" s="11"/>
      <c r="B573" s="11"/>
      <c r="C573" s="11"/>
      <c r="D573" s="24"/>
      <c r="E573" s="25"/>
      <c r="F573" s="25"/>
      <c r="G573" s="25"/>
      <c r="H573" s="25"/>
    </row>
    <row r="574">
      <c r="A574" s="6"/>
      <c r="B574" s="6"/>
      <c r="C574" s="6"/>
      <c r="D574" s="21"/>
      <c r="E574" s="22"/>
      <c r="F574" s="22"/>
      <c r="G574" s="22"/>
      <c r="H574" s="22"/>
    </row>
    <row r="575">
      <c r="A575" s="11"/>
      <c r="B575" s="11"/>
      <c r="C575" s="11"/>
      <c r="D575" s="24"/>
      <c r="E575" s="25"/>
      <c r="F575" s="25"/>
      <c r="G575" s="25"/>
      <c r="H575" s="25"/>
    </row>
    <row r="576">
      <c r="A576" s="6"/>
      <c r="B576" s="6"/>
      <c r="C576" s="6"/>
      <c r="D576" s="21"/>
      <c r="E576" s="22"/>
      <c r="F576" s="22"/>
      <c r="G576" s="22"/>
      <c r="H576" s="22"/>
    </row>
    <row r="577">
      <c r="A577" s="11"/>
      <c r="B577" s="11"/>
      <c r="C577" s="11"/>
      <c r="D577" s="24"/>
      <c r="E577" s="25"/>
      <c r="F577" s="25"/>
      <c r="G577" s="25"/>
      <c r="H577" s="25"/>
    </row>
    <row r="578">
      <c r="A578" s="6"/>
      <c r="B578" s="6"/>
      <c r="C578" s="6"/>
      <c r="D578" s="21"/>
      <c r="E578" s="22"/>
      <c r="F578" s="22"/>
      <c r="G578" s="22"/>
      <c r="H578" s="22"/>
    </row>
    <row r="579">
      <c r="A579" s="11"/>
      <c r="B579" s="11"/>
      <c r="C579" s="11"/>
      <c r="D579" s="24"/>
      <c r="E579" s="25"/>
      <c r="F579" s="25"/>
      <c r="G579" s="25"/>
      <c r="H579" s="25"/>
    </row>
    <row r="580">
      <c r="A580" s="6"/>
      <c r="B580" s="6"/>
      <c r="C580" s="6"/>
      <c r="D580" s="21"/>
      <c r="E580" s="22"/>
      <c r="F580" s="22"/>
      <c r="G580" s="22"/>
      <c r="H580" s="22"/>
    </row>
    <row r="581">
      <c r="A581" s="11"/>
      <c r="B581" s="11"/>
      <c r="C581" s="11"/>
      <c r="D581" s="24"/>
      <c r="E581" s="25"/>
      <c r="F581" s="25"/>
      <c r="G581" s="25"/>
      <c r="H581" s="25"/>
    </row>
    <row r="582">
      <c r="A582" s="6"/>
      <c r="B582" s="6"/>
      <c r="C582" s="6"/>
      <c r="D582" s="21"/>
      <c r="E582" s="22"/>
      <c r="F582" s="22"/>
      <c r="G582" s="22"/>
      <c r="H582" s="22"/>
    </row>
    <row r="583">
      <c r="A583" s="11"/>
      <c r="B583" s="11"/>
      <c r="C583" s="11"/>
      <c r="D583" s="24"/>
      <c r="E583" s="25"/>
      <c r="F583" s="25"/>
      <c r="G583" s="25"/>
      <c r="H583" s="25"/>
    </row>
    <row r="584">
      <c r="A584" s="6"/>
      <c r="B584" s="6"/>
      <c r="C584" s="6"/>
      <c r="D584" s="21"/>
      <c r="E584" s="22"/>
      <c r="F584" s="22"/>
      <c r="G584" s="22"/>
      <c r="H584" s="22"/>
    </row>
    <row r="585">
      <c r="A585" s="11"/>
      <c r="B585" s="11"/>
      <c r="C585" s="11"/>
      <c r="D585" s="24"/>
      <c r="E585" s="25"/>
      <c r="F585" s="25"/>
      <c r="G585" s="25"/>
      <c r="H585" s="25"/>
    </row>
    <row r="586">
      <c r="A586" s="6"/>
      <c r="B586" s="6"/>
      <c r="C586" s="6"/>
      <c r="D586" s="21"/>
      <c r="E586" s="22"/>
      <c r="F586" s="22"/>
      <c r="G586" s="22"/>
      <c r="H586" s="22"/>
    </row>
    <row r="587">
      <c r="A587" s="11"/>
      <c r="B587" s="11"/>
      <c r="C587" s="11"/>
      <c r="D587" s="24"/>
      <c r="E587" s="25"/>
      <c r="F587" s="25"/>
      <c r="G587" s="25"/>
      <c r="H587" s="25"/>
    </row>
    <row r="588">
      <c r="A588" s="6"/>
      <c r="B588" s="6"/>
      <c r="C588" s="6"/>
      <c r="D588" s="21"/>
      <c r="E588" s="22"/>
      <c r="F588" s="22"/>
      <c r="G588" s="22"/>
      <c r="H588" s="22"/>
    </row>
    <row r="589">
      <c r="A589" s="11"/>
      <c r="B589" s="11"/>
      <c r="C589" s="11"/>
      <c r="D589" s="24"/>
      <c r="E589" s="25"/>
      <c r="F589" s="25"/>
      <c r="G589" s="25"/>
      <c r="H589" s="25"/>
    </row>
    <row r="590">
      <c r="A590" s="6"/>
      <c r="B590" s="6"/>
      <c r="C590" s="6"/>
      <c r="D590" s="21"/>
      <c r="E590" s="22"/>
      <c r="F590" s="22"/>
      <c r="G590" s="22"/>
      <c r="H590" s="22"/>
    </row>
    <row r="591">
      <c r="A591" s="11"/>
      <c r="B591" s="11"/>
      <c r="C591" s="11"/>
      <c r="D591" s="24"/>
      <c r="E591" s="25"/>
      <c r="F591" s="25"/>
      <c r="G591" s="25"/>
      <c r="H591" s="25"/>
    </row>
    <row r="592">
      <c r="A592" s="6"/>
      <c r="B592" s="6"/>
      <c r="C592" s="6"/>
      <c r="D592" s="21"/>
      <c r="E592" s="22"/>
      <c r="F592" s="22"/>
      <c r="G592" s="22"/>
      <c r="H592" s="22"/>
    </row>
    <row r="593">
      <c r="A593" s="11"/>
      <c r="B593" s="11"/>
      <c r="C593" s="11"/>
      <c r="D593" s="24"/>
      <c r="E593" s="25"/>
      <c r="F593" s="25"/>
      <c r="G593" s="25"/>
      <c r="H593" s="25"/>
    </row>
    <row r="594">
      <c r="A594" s="6"/>
      <c r="B594" s="6"/>
      <c r="C594" s="6"/>
      <c r="D594" s="21"/>
      <c r="E594" s="22"/>
      <c r="F594" s="22"/>
      <c r="G594" s="22"/>
      <c r="H594" s="22"/>
    </row>
    <row r="595">
      <c r="A595" s="11"/>
      <c r="B595" s="11"/>
      <c r="C595" s="11"/>
      <c r="D595" s="24"/>
      <c r="E595" s="25"/>
      <c r="F595" s="25"/>
      <c r="G595" s="25"/>
      <c r="H595" s="25"/>
    </row>
    <row r="596">
      <c r="A596" s="6"/>
      <c r="B596" s="6"/>
      <c r="C596" s="6"/>
      <c r="D596" s="21"/>
      <c r="E596" s="22"/>
      <c r="F596" s="22"/>
      <c r="G596" s="22"/>
      <c r="H596" s="22"/>
    </row>
    <row r="597">
      <c r="A597" s="11"/>
      <c r="B597" s="11"/>
      <c r="C597" s="11"/>
      <c r="D597" s="24"/>
      <c r="E597" s="25"/>
      <c r="F597" s="25"/>
      <c r="G597" s="25"/>
      <c r="H597" s="25"/>
    </row>
    <row r="598">
      <c r="A598" s="6"/>
      <c r="B598" s="6"/>
      <c r="C598" s="6"/>
      <c r="D598" s="21"/>
      <c r="E598" s="22"/>
      <c r="F598" s="22"/>
      <c r="G598" s="22"/>
      <c r="H598" s="22"/>
    </row>
    <row r="599">
      <c r="A599" s="11"/>
      <c r="B599" s="11"/>
      <c r="C599" s="11"/>
      <c r="D599" s="24"/>
      <c r="E599" s="25"/>
      <c r="F599" s="25"/>
      <c r="G599" s="25"/>
      <c r="H599" s="25"/>
    </row>
    <row r="600">
      <c r="A600" s="6"/>
      <c r="B600" s="6"/>
      <c r="C600" s="6"/>
      <c r="D600" s="21"/>
      <c r="E600" s="22"/>
      <c r="F600" s="22"/>
      <c r="G600" s="22"/>
      <c r="H600" s="22"/>
    </row>
    <row r="601">
      <c r="A601" s="11"/>
      <c r="B601" s="11"/>
      <c r="C601" s="11"/>
      <c r="D601" s="24"/>
      <c r="E601" s="25"/>
      <c r="F601" s="25"/>
      <c r="G601" s="25"/>
      <c r="H601" s="25"/>
    </row>
    <row r="602">
      <c r="A602" s="6"/>
      <c r="B602" s="6"/>
      <c r="C602" s="6"/>
      <c r="D602" s="21"/>
      <c r="E602" s="22"/>
      <c r="F602" s="22"/>
      <c r="G602" s="22"/>
      <c r="H602" s="22"/>
    </row>
    <row r="603">
      <c r="A603" s="11"/>
      <c r="B603" s="11"/>
      <c r="C603" s="11"/>
      <c r="D603" s="24"/>
      <c r="E603" s="25"/>
      <c r="F603" s="25"/>
      <c r="G603" s="25"/>
      <c r="H603" s="25"/>
    </row>
    <row r="604">
      <c r="A604" s="6"/>
      <c r="B604" s="6"/>
      <c r="C604" s="6"/>
      <c r="D604" s="21"/>
      <c r="E604" s="22"/>
      <c r="F604" s="22"/>
      <c r="G604" s="22"/>
      <c r="H604" s="22"/>
    </row>
    <row r="605">
      <c r="A605" s="11"/>
      <c r="B605" s="11"/>
      <c r="C605" s="11"/>
      <c r="D605" s="24"/>
      <c r="E605" s="25"/>
      <c r="F605" s="25"/>
      <c r="G605" s="25"/>
      <c r="H605" s="25"/>
    </row>
    <row r="606">
      <c r="A606" s="6"/>
      <c r="B606" s="6"/>
      <c r="C606" s="6"/>
      <c r="D606" s="21"/>
      <c r="E606" s="22"/>
      <c r="F606" s="22"/>
      <c r="G606" s="22"/>
      <c r="H606" s="22"/>
    </row>
    <row r="607">
      <c r="A607" s="11"/>
      <c r="B607" s="11"/>
      <c r="C607" s="11"/>
      <c r="D607" s="24"/>
      <c r="E607" s="25"/>
      <c r="F607" s="25"/>
      <c r="G607" s="25"/>
      <c r="H607" s="25"/>
    </row>
    <row r="608">
      <c r="A608" s="6"/>
      <c r="B608" s="6"/>
      <c r="C608" s="6"/>
      <c r="D608" s="21"/>
      <c r="E608" s="22"/>
      <c r="F608" s="22"/>
      <c r="G608" s="22"/>
      <c r="H608" s="22"/>
    </row>
    <row r="609">
      <c r="A609" s="11"/>
      <c r="B609" s="11"/>
      <c r="C609" s="11"/>
      <c r="D609" s="24"/>
      <c r="E609" s="25"/>
      <c r="F609" s="25"/>
      <c r="G609" s="25"/>
      <c r="H609" s="25"/>
    </row>
    <row r="610">
      <c r="A610" s="6"/>
      <c r="B610" s="6"/>
      <c r="C610" s="6"/>
      <c r="D610" s="21"/>
      <c r="E610" s="22"/>
      <c r="F610" s="22"/>
      <c r="G610" s="22"/>
      <c r="H610" s="22"/>
    </row>
    <row r="611">
      <c r="A611" s="11"/>
      <c r="B611" s="11"/>
      <c r="C611" s="11"/>
      <c r="D611" s="24"/>
      <c r="E611" s="25"/>
      <c r="F611" s="25"/>
      <c r="G611" s="25"/>
      <c r="H611" s="25"/>
    </row>
    <row r="612">
      <c r="A612" s="6"/>
      <c r="B612" s="6"/>
      <c r="C612" s="6"/>
      <c r="D612" s="21"/>
      <c r="E612" s="22"/>
      <c r="F612" s="22"/>
      <c r="G612" s="22"/>
      <c r="H612" s="22"/>
    </row>
    <row r="613">
      <c r="A613" s="11"/>
      <c r="B613" s="11"/>
      <c r="C613" s="11"/>
      <c r="D613" s="24"/>
      <c r="E613" s="25"/>
      <c r="F613" s="25"/>
      <c r="G613" s="25"/>
      <c r="H613" s="25"/>
    </row>
    <row r="614">
      <c r="A614" s="6"/>
      <c r="B614" s="6"/>
      <c r="C614" s="6"/>
      <c r="D614" s="21"/>
      <c r="E614" s="22"/>
      <c r="F614" s="22"/>
      <c r="G614" s="22"/>
      <c r="H614" s="22"/>
    </row>
    <row r="615">
      <c r="A615" s="11"/>
      <c r="B615" s="11"/>
      <c r="C615" s="11"/>
      <c r="D615" s="24"/>
      <c r="E615" s="25"/>
      <c r="F615" s="25"/>
      <c r="G615" s="25"/>
      <c r="H615" s="25"/>
    </row>
    <row r="616">
      <c r="A616" s="6"/>
      <c r="B616" s="6"/>
      <c r="C616" s="6"/>
      <c r="D616" s="21"/>
      <c r="E616" s="22"/>
      <c r="F616" s="22"/>
      <c r="G616" s="22"/>
      <c r="H616" s="22"/>
    </row>
    <row r="617">
      <c r="A617" s="11"/>
      <c r="B617" s="11"/>
      <c r="C617" s="11"/>
      <c r="D617" s="24"/>
      <c r="E617" s="25"/>
      <c r="F617" s="25"/>
      <c r="G617" s="25"/>
      <c r="H617" s="25"/>
    </row>
    <row r="618">
      <c r="A618" s="6"/>
      <c r="B618" s="6"/>
      <c r="C618" s="6"/>
      <c r="D618" s="21"/>
      <c r="E618" s="22"/>
      <c r="F618" s="22"/>
      <c r="G618" s="22"/>
      <c r="H618" s="22"/>
    </row>
    <row r="619">
      <c r="A619" s="11"/>
      <c r="B619" s="11"/>
      <c r="C619" s="11"/>
      <c r="D619" s="24"/>
      <c r="E619" s="25"/>
      <c r="F619" s="25"/>
      <c r="G619" s="25"/>
      <c r="H619" s="25"/>
    </row>
    <row r="620">
      <c r="A620" s="6"/>
      <c r="B620" s="6"/>
      <c r="C620" s="6"/>
      <c r="D620" s="21"/>
      <c r="E620" s="22"/>
      <c r="F620" s="22"/>
      <c r="G620" s="22"/>
      <c r="H620" s="22"/>
    </row>
    <row r="621">
      <c r="A621" s="11"/>
      <c r="B621" s="11"/>
      <c r="C621" s="11"/>
      <c r="D621" s="24"/>
      <c r="E621" s="25"/>
      <c r="F621" s="25"/>
      <c r="G621" s="25"/>
      <c r="H621" s="25"/>
    </row>
    <row r="622">
      <c r="A622" s="6"/>
      <c r="B622" s="6"/>
      <c r="C622" s="6"/>
      <c r="D622" s="21"/>
      <c r="E622" s="22"/>
      <c r="F622" s="22"/>
      <c r="G622" s="22"/>
      <c r="H622" s="22"/>
    </row>
    <row r="623">
      <c r="A623" s="11"/>
      <c r="B623" s="11"/>
      <c r="C623" s="11"/>
      <c r="D623" s="24"/>
      <c r="E623" s="25"/>
      <c r="F623" s="25"/>
      <c r="G623" s="25"/>
      <c r="H623" s="25"/>
    </row>
    <row r="624">
      <c r="A624" s="6"/>
      <c r="B624" s="6"/>
      <c r="C624" s="6"/>
      <c r="D624" s="21"/>
      <c r="E624" s="22"/>
      <c r="F624" s="22"/>
      <c r="G624" s="22"/>
      <c r="H624" s="22"/>
    </row>
    <row r="625">
      <c r="A625" s="11"/>
      <c r="B625" s="11"/>
      <c r="C625" s="11"/>
      <c r="D625" s="24"/>
      <c r="E625" s="25"/>
      <c r="F625" s="25"/>
      <c r="G625" s="25"/>
      <c r="H625" s="25"/>
    </row>
    <row r="626">
      <c r="A626" s="6"/>
      <c r="B626" s="6"/>
      <c r="C626" s="6"/>
      <c r="D626" s="21"/>
      <c r="E626" s="22"/>
      <c r="F626" s="22"/>
      <c r="G626" s="22"/>
      <c r="H626" s="22"/>
    </row>
    <row r="627">
      <c r="A627" s="11"/>
      <c r="B627" s="11"/>
      <c r="C627" s="11"/>
      <c r="D627" s="24"/>
      <c r="E627" s="25"/>
      <c r="F627" s="25"/>
      <c r="G627" s="25"/>
      <c r="H627" s="25"/>
    </row>
    <row r="628">
      <c r="A628" s="6"/>
      <c r="B628" s="6"/>
      <c r="C628" s="6"/>
      <c r="D628" s="21"/>
      <c r="E628" s="22"/>
      <c r="F628" s="22"/>
      <c r="G628" s="22"/>
      <c r="H628" s="22"/>
    </row>
    <row r="629">
      <c r="A629" s="11"/>
      <c r="B629" s="11"/>
      <c r="C629" s="11"/>
      <c r="D629" s="24"/>
      <c r="E629" s="25"/>
      <c r="F629" s="25"/>
      <c r="G629" s="25"/>
      <c r="H629" s="25"/>
    </row>
    <row r="630">
      <c r="A630" s="6"/>
      <c r="B630" s="6"/>
      <c r="C630" s="6"/>
      <c r="D630" s="21"/>
      <c r="E630" s="22"/>
      <c r="F630" s="22"/>
      <c r="G630" s="22"/>
      <c r="H630" s="22"/>
    </row>
    <row r="631">
      <c r="A631" s="11"/>
      <c r="B631" s="11"/>
      <c r="C631" s="11"/>
      <c r="D631" s="24"/>
      <c r="E631" s="25"/>
      <c r="F631" s="25"/>
      <c r="G631" s="25"/>
      <c r="H631" s="25"/>
    </row>
    <row r="632">
      <c r="A632" s="6"/>
      <c r="B632" s="6"/>
      <c r="C632" s="6"/>
      <c r="D632" s="21"/>
      <c r="E632" s="22"/>
      <c r="F632" s="22"/>
      <c r="G632" s="22"/>
      <c r="H632" s="22"/>
    </row>
    <row r="633">
      <c r="A633" s="11"/>
      <c r="B633" s="11"/>
      <c r="C633" s="11"/>
      <c r="D633" s="24"/>
      <c r="E633" s="25"/>
      <c r="F633" s="25"/>
      <c r="G633" s="25"/>
      <c r="H633" s="25"/>
    </row>
    <row r="634">
      <c r="A634" s="6"/>
      <c r="B634" s="6"/>
      <c r="C634" s="6"/>
      <c r="D634" s="21"/>
      <c r="E634" s="22"/>
      <c r="F634" s="22"/>
      <c r="G634" s="22"/>
      <c r="H634" s="22"/>
    </row>
    <row r="635">
      <c r="A635" s="11"/>
      <c r="B635" s="11"/>
      <c r="C635" s="11"/>
      <c r="D635" s="24"/>
      <c r="E635" s="25"/>
      <c r="F635" s="25"/>
      <c r="G635" s="25"/>
      <c r="H635" s="25"/>
    </row>
    <row r="636">
      <c r="A636" s="6"/>
      <c r="B636" s="6"/>
      <c r="C636" s="6"/>
      <c r="D636" s="21"/>
      <c r="E636" s="22"/>
      <c r="F636" s="22"/>
      <c r="G636" s="22"/>
      <c r="H636" s="22"/>
    </row>
    <row r="637">
      <c r="A637" s="11"/>
      <c r="B637" s="11"/>
      <c r="C637" s="11"/>
      <c r="D637" s="24"/>
      <c r="E637" s="25"/>
      <c r="F637" s="25"/>
      <c r="G637" s="25"/>
      <c r="H637" s="25"/>
    </row>
    <row r="638">
      <c r="A638" s="6"/>
      <c r="B638" s="6"/>
      <c r="C638" s="6"/>
      <c r="D638" s="21"/>
      <c r="E638" s="22"/>
      <c r="F638" s="22"/>
      <c r="G638" s="22"/>
      <c r="H638" s="22"/>
    </row>
    <row r="639">
      <c r="A639" s="11"/>
      <c r="B639" s="11"/>
      <c r="C639" s="11"/>
      <c r="D639" s="24"/>
      <c r="E639" s="25"/>
      <c r="F639" s="25"/>
      <c r="G639" s="25"/>
      <c r="H639" s="25"/>
    </row>
    <row r="640">
      <c r="A640" s="6"/>
      <c r="B640" s="6"/>
      <c r="C640" s="6"/>
      <c r="D640" s="21"/>
      <c r="E640" s="22"/>
      <c r="F640" s="22"/>
      <c r="G640" s="22"/>
      <c r="H640" s="22"/>
    </row>
    <row r="641">
      <c r="A641" s="11"/>
      <c r="B641" s="11"/>
      <c r="C641" s="11"/>
      <c r="D641" s="24"/>
      <c r="E641" s="25"/>
      <c r="F641" s="25"/>
      <c r="G641" s="25"/>
      <c r="H641" s="25"/>
    </row>
    <row r="642">
      <c r="A642" s="6"/>
      <c r="B642" s="6"/>
      <c r="C642" s="6"/>
      <c r="D642" s="21"/>
      <c r="E642" s="22"/>
      <c r="F642" s="22"/>
      <c r="G642" s="22"/>
      <c r="H642" s="22"/>
    </row>
    <row r="643">
      <c r="A643" s="11"/>
      <c r="B643" s="11"/>
      <c r="C643" s="11"/>
      <c r="D643" s="24"/>
      <c r="E643" s="25"/>
      <c r="F643" s="25"/>
      <c r="G643" s="25"/>
      <c r="H643" s="25"/>
    </row>
    <row r="644">
      <c r="A644" s="6"/>
      <c r="B644" s="6"/>
      <c r="C644" s="6"/>
      <c r="D644" s="21"/>
      <c r="E644" s="22"/>
      <c r="F644" s="22"/>
      <c r="G644" s="22"/>
      <c r="H644" s="22"/>
    </row>
    <row r="645">
      <c r="A645" s="11"/>
      <c r="B645" s="11"/>
      <c r="C645" s="11"/>
      <c r="D645" s="24"/>
      <c r="E645" s="25"/>
      <c r="F645" s="25"/>
      <c r="G645" s="25"/>
      <c r="H645" s="25"/>
    </row>
    <row r="646">
      <c r="A646" s="6"/>
      <c r="B646" s="6"/>
      <c r="C646" s="6"/>
      <c r="D646" s="21"/>
      <c r="E646" s="22"/>
      <c r="F646" s="22"/>
      <c r="G646" s="22"/>
      <c r="H646" s="22"/>
    </row>
    <row r="647">
      <c r="A647" s="11"/>
      <c r="B647" s="11"/>
      <c r="C647" s="11"/>
      <c r="D647" s="24"/>
      <c r="E647" s="25"/>
      <c r="F647" s="25"/>
      <c r="G647" s="25"/>
      <c r="H647" s="25"/>
    </row>
    <row r="648">
      <c r="A648" s="6"/>
      <c r="B648" s="6"/>
      <c r="C648" s="6"/>
      <c r="D648" s="21"/>
      <c r="E648" s="22"/>
      <c r="F648" s="22"/>
      <c r="G648" s="22"/>
      <c r="H648" s="22"/>
    </row>
    <row r="649">
      <c r="A649" s="11"/>
      <c r="B649" s="11"/>
      <c r="C649" s="11"/>
      <c r="D649" s="24"/>
      <c r="E649" s="25"/>
      <c r="F649" s="25"/>
      <c r="G649" s="25"/>
      <c r="H649" s="25"/>
    </row>
    <row r="650">
      <c r="A650" s="6"/>
      <c r="B650" s="6"/>
      <c r="C650" s="6"/>
      <c r="D650" s="21"/>
      <c r="E650" s="22"/>
      <c r="F650" s="22"/>
      <c r="G650" s="22"/>
      <c r="H650" s="22"/>
    </row>
    <row r="651">
      <c r="A651" s="11"/>
      <c r="B651" s="11"/>
      <c r="C651" s="11"/>
      <c r="D651" s="24"/>
      <c r="E651" s="25"/>
      <c r="F651" s="25"/>
      <c r="G651" s="25"/>
      <c r="H651" s="25"/>
    </row>
    <row r="652">
      <c r="A652" s="6"/>
      <c r="B652" s="6"/>
      <c r="C652" s="6"/>
      <c r="D652" s="21"/>
      <c r="E652" s="22"/>
      <c r="F652" s="22"/>
      <c r="G652" s="22"/>
      <c r="H652" s="22"/>
    </row>
    <row r="653">
      <c r="A653" s="11"/>
      <c r="B653" s="11"/>
      <c r="C653" s="11"/>
      <c r="D653" s="24"/>
      <c r="E653" s="25"/>
      <c r="F653" s="25"/>
      <c r="G653" s="25"/>
      <c r="H653" s="25"/>
    </row>
    <row r="654">
      <c r="A654" s="6"/>
      <c r="B654" s="6"/>
      <c r="C654" s="6"/>
      <c r="D654" s="21"/>
      <c r="E654" s="22"/>
      <c r="F654" s="22"/>
      <c r="G654" s="22"/>
      <c r="H654" s="22"/>
    </row>
    <row r="655">
      <c r="A655" s="11"/>
      <c r="B655" s="11"/>
      <c r="C655" s="11"/>
      <c r="D655" s="24"/>
      <c r="E655" s="25"/>
      <c r="F655" s="25"/>
      <c r="G655" s="25"/>
      <c r="H655" s="25"/>
    </row>
    <row r="656">
      <c r="A656" s="6"/>
      <c r="B656" s="6"/>
      <c r="C656" s="6"/>
      <c r="D656" s="21"/>
      <c r="E656" s="22"/>
      <c r="F656" s="22"/>
      <c r="G656" s="22"/>
      <c r="H656" s="22"/>
    </row>
    <row r="657">
      <c r="A657" s="11"/>
      <c r="B657" s="11"/>
      <c r="C657" s="11"/>
      <c r="D657" s="24"/>
      <c r="E657" s="25"/>
      <c r="F657" s="25"/>
      <c r="G657" s="25"/>
      <c r="H657" s="25"/>
    </row>
    <row r="658">
      <c r="A658" s="6"/>
      <c r="B658" s="6"/>
      <c r="C658" s="6"/>
      <c r="D658" s="21"/>
      <c r="E658" s="22"/>
      <c r="F658" s="22"/>
      <c r="G658" s="22"/>
      <c r="H658" s="22"/>
    </row>
    <row r="659">
      <c r="A659" s="11"/>
      <c r="B659" s="11"/>
      <c r="C659" s="11"/>
      <c r="D659" s="24"/>
      <c r="E659" s="25"/>
      <c r="F659" s="25"/>
      <c r="G659" s="25"/>
      <c r="H659" s="25"/>
    </row>
    <row r="660">
      <c r="A660" s="6"/>
      <c r="B660" s="6"/>
      <c r="C660" s="6"/>
      <c r="D660" s="21"/>
      <c r="E660" s="22"/>
      <c r="F660" s="22"/>
      <c r="G660" s="22"/>
      <c r="H660" s="22"/>
    </row>
    <row r="661">
      <c r="A661" s="11"/>
      <c r="B661" s="11"/>
      <c r="C661" s="11"/>
      <c r="D661" s="24"/>
      <c r="E661" s="25"/>
      <c r="F661" s="25"/>
      <c r="G661" s="25"/>
      <c r="H661" s="25"/>
    </row>
    <row r="662">
      <c r="A662" s="6"/>
      <c r="B662" s="6"/>
      <c r="C662" s="6"/>
      <c r="D662" s="21"/>
      <c r="E662" s="22"/>
      <c r="F662" s="22"/>
      <c r="G662" s="22"/>
      <c r="H662" s="22"/>
    </row>
    <row r="663">
      <c r="A663" s="11"/>
      <c r="B663" s="11"/>
      <c r="C663" s="11"/>
      <c r="D663" s="24"/>
      <c r="E663" s="25"/>
      <c r="F663" s="25"/>
      <c r="G663" s="25"/>
      <c r="H663" s="25"/>
    </row>
    <row r="664">
      <c r="A664" s="6"/>
      <c r="B664" s="6"/>
      <c r="C664" s="6"/>
      <c r="D664" s="21"/>
      <c r="E664" s="22"/>
      <c r="F664" s="22"/>
      <c r="G664" s="22"/>
      <c r="H664" s="22"/>
    </row>
    <row r="665">
      <c r="A665" s="11"/>
      <c r="B665" s="11"/>
      <c r="C665" s="11"/>
      <c r="D665" s="24"/>
      <c r="E665" s="25"/>
      <c r="F665" s="25"/>
      <c r="G665" s="25"/>
      <c r="H665" s="25"/>
    </row>
    <row r="666">
      <c r="A666" s="6"/>
      <c r="B666" s="6"/>
      <c r="C666" s="6"/>
      <c r="D666" s="21"/>
      <c r="E666" s="22"/>
      <c r="F666" s="22"/>
      <c r="G666" s="22"/>
      <c r="H666" s="22"/>
    </row>
    <row r="667">
      <c r="A667" s="11"/>
      <c r="B667" s="11"/>
      <c r="C667" s="11"/>
      <c r="D667" s="24"/>
      <c r="E667" s="25"/>
      <c r="F667" s="25"/>
      <c r="G667" s="25"/>
      <c r="H667" s="25"/>
    </row>
    <row r="668">
      <c r="A668" s="6"/>
      <c r="B668" s="6"/>
      <c r="C668" s="6"/>
      <c r="D668" s="21"/>
      <c r="E668" s="22"/>
      <c r="F668" s="22"/>
      <c r="G668" s="22"/>
      <c r="H668" s="22"/>
    </row>
    <row r="669">
      <c r="A669" s="11"/>
      <c r="B669" s="11"/>
      <c r="C669" s="11"/>
      <c r="D669" s="24"/>
      <c r="E669" s="25"/>
      <c r="F669" s="25"/>
      <c r="G669" s="25"/>
      <c r="H669" s="25"/>
    </row>
    <row r="670">
      <c r="A670" s="6"/>
      <c r="B670" s="6"/>
      <c r="C670" s="6"/>
      <c r="D670" s="21"/>
      <c r="E670" s="22"/>
      <c r="F670" s="22"/>
      <c r="G670" s="22"/>
      <c r="H670" s="22"/>
    </row>
    <row r="671">
      <c r="A671" s="11"/>
      <c r="B671" s="11"/>
      <c r="C671" s="11"/>
      <c r="D671" s="24"/>
      <c r="E671" s="25"/>
      <c r="F671" s="25"/>
      <c r="G671" s="25"/>
      <c r="H671" s="25"/>
    </row>
    <row r="672">
      <c r="A672" s="6"/>
      <c r="B672" s="6"/>
      <c r="C672" s="6"/>
      <c r="D672" s="21"/>
      <c r="E672" s="22"/>
      <c r="F672" s="22"/>
      <c r="G672" s="22"/>
      <c r="H672" s="22"/>
    </row>
    <row r="673">
      <c r="A673" s="11"/>
      <c r="B673" s="11"/>
      <c r="C673" s="11"/>
      <c r="D673" s="24"/>
      <c r="E673" s="25"/>
      <c r="F673" s="25"/>
      <c r="G673" s="25"/>
      <c r="H673" s="25"/>
    </row>
    <row r="674">
      <c r="A674" s="6"/>
      <c r="B674" s="6"/>
      <c r="C674" s="6"/>
      <c r="D674" s="21"/>
      <c r="E674" s="22"/>
      <c r="F674" s="22"/>
      <c r="G674" s="22"/>
      <c r="H674" s="22"/>
    </row>
    <row r="675">
      <c r="A675" s="11"/>
      <c r="B675" s="11"/>
      <c r="C675" s="11"/>
      <c r="D675" s="24"/>
      <c r="E675" s="25"/>
      <c r="F675" s="25"/>
      <c r="G675" s="25"/>
      <c r="H675" s="25"/>
    </row>
    <row r="676">
      <c r="A676" s="6"/>
      <c r="B676" s="6"/>
      <c r="C676" s="6"/>
      <c r="D676" s="21"/>
      <c r="E676" s="22"/>
      <c r="F676" s="22"/>
      <c r="G676" s="22"/>
      <c r="H676" s="22"/>
    </row>
    <row r="677">
      <c r="A677" s="11"/>
      <c r="B677" s="11"/>
      <c r="C677" s="11"/>
      <c r="D677" s="24"/>
      <c r="E677" s="25"/>
      <c r="F677" s="25"/>
      <c r="G677" s="25"/>
      <c r="H677" s="25"/>
    </row>
    <row r="678">
      <c r="A678" s="6"/>
      <c r="B678" s="6"/>
      <c r="C678" s="6"/>
      <c r="D678" s="21"/>
      <c r="E678" s="22"/>
      <c r="F678" s="22"/>
      <c r="G678" s="22"/>
      <c r="H678" s="22"/>
    </row>
    <row r="679">
      <c r="A679" s="11"/>
      <c r="B679" s="11"/>
      <c r="C679" s="11"/>
      <c r="D679" s="24"/>
      <c r="E679" s="25"/>
      <c r="F679" s="25"/>
      <c r="G679" s="25"/>
      <c r="H679" s="25"/>
    </row>
    <row r="680">
      <c r="A680" s="6"/>
      <c r="B680" s="6"/>
      <c r="C680" s="6"/>
      <c r="D680" s="21"/>
      <c r="E680" s="22"/>
      <c r="F680" s="22"/>
      <c r="G680" s="22"/>
      <c r="H680" s="22"/>
    </row>
    <row r="681">
      <c r="A681" s="11"/>
      <c r="B681" s="11"/>
      <c r="C681" s="11"/>
      <c r="D681" s="24"/>
      <c r="E681" s="25"/>
      <c r="F681" s="25"/>
      <c r="G681" s="25"/>
      <c r="H681" s="25"/>
    </row>
    <row r="682">
      <c r="A682" s="6"/>
      <c r="B682" s="6"/>
      <c r="C682" s="6"/>
      <c r="D682" s="21"/>
      <c r="E682" s="22"/>
      <c r="F682" s="22"/>
      <c r="G682" s="22"/>
      <c r="H682" s="22"/>
    </row>
    <row r="683">
      <c r="A683" s="11"/>
      <c r="B683" s="11"/>
      <c r="C683" s="11"/>
      <c r="D683" s="24"/>
      <c r="E683" s="25"/>
      <c r="F683" s="25"/>
      <c r="G683" s="25"/>
      <c r="H683" s="25"/>
    </row>
    <row r="684">
      <c r="A684" s="6"/>
      <c r="B684" s="6"/>
      <c r="C684" s="6"/>
      <c r="D684" s="21"/>
      <c r="E684" s="22"/>
      <c r="F684" s="22"/>
      <c r="G684" s="22"/>
      <c r="H684" s="22"/>
    </row>
    <row r="685">
      <c r="A685" s="11"/>
      <c r="B685" s="11"/>
      <c r="C685" s="11"/>
      <c r="D685" s="24"/>
      <c r="E685" s="25"/>
      <c r="F685" s="25"/>
      <c r="G685" s="25"/>
      <c r="H685" s="25"/>
    </row>
    <row r="686">
      <c r="A686" s="6"/>
      <c r="B686" s="6"/>
      <c r="C686" s="6"/>
      <c r="D686" s="21"/>
      <c r="E686" s="22"/>
      <c r="F686" s="22"/>
      <c r="G686" s="22"/>
      <c r="H686" s="22"/>
    </row>
    <row r="687">
      <c r="A687" s="11"/>
      <c r="B687" s="11"/>
      <c r="C687" s="11"/>
      <c r="D687" s="24"/>
      <c r="E687" s="25"/>
      <c r="F687" s="25"/>
      <c r="G687" s="25"/>
      <c r="H687" s="25"/>
    </row>
    <row r="688">
      <c r="A688" s="6"/>
      <c r="B688" s="6"/>
      <c r="C688" s="6"/>
      <c r="D688" s="21"/>
      <c r="E688" s="22"/>
      <c r="F688" s="22"/>
      <c r="G688" s="22"/>
      <c r="H688" s="22"/>
    </row>
    <row r="689">
      <c r="A689" s="11"/>
      <c r="B689" s="11"/>
      <c r="C689" s="11"/>
      <c r="D689" s="24"/>
      <c r="E689" s="25"/>
      <c r="F689" s="25"/>
      <c r="G689" s="25"/>
      <c r="H689" s="25"/>
    </row>
    <row r="690">
      <c r="A690" s="6"/>
      <c r="B690" s="6"/>
      <c r="C690" s="6"/>
      <c r="D690" s="21"/>
      <c r="E690" s="22"/>
      <c r="F690" s="22"/>
      <c r="G690" s="22"/>
      <c r="H690" s="22"/>
    </row>
    <row r="691">
      <c r="A691" s="11"/>
      <c r="B691" s="11"/>
      <c r="C691" s="11"/>
      <c r="D691" s="24"/>
      <c r="E691" s="25"/>
      <c r="F691" s="25"/>
      <c r="G691" s="25"/>
      <c r="H691" s="25"/>
    </row>
    <row r="692">
      <c r="A692" s="6"/>
      <c r="B692" s="6"/>
      <c r="C692" s="6"/>
      <c r="D692" s="21"/>
      <c r="E692" s="22"/>
      <c r="F692" s="22"/>
      <c r="G692" s="22"/>
      <c r="H692" s="22"/>
    </row>
    <row r="693">
      <c r="A693" s="11"/>
      <c r="B693" s="11"/>
      <c r="C693" s="11"/>
      <c r="D693" s="24"/>
      <c r="E693" s="25"/>
      <c r="F693" s="25"/>
      <c r="G693" s="25"/>
      <c r="H693" s="25"/>
    </row>
    <row r="694">
      <c r="A694" s="6"/>
      <c r="B694" s="6"/>
      <c r="C694" s="6"/>
      <c r="D694" s="21"/>
      <c r="E694" s="22"/>
      <c r="F694" s="22"/>
      <c r="G694" s="22"/>
      <c r="H694" s="22"/>
    </row>
    <row r="695">
      <c r="A695" s="11"/>
      <c r="B695" s="11"/>
      <c r="C695" s="11"/>
      <c r="D695" s="24"/>
      <c r="E695" s="25"/>
      <c r="F695" s="25"/>
      <c r="G695" s="25"/>
      <c r="H695" s="25"/>
    </row>
    <row r="696">
      <c r="A696" s="6"/>
      <c r="B696" s="6"/>
      <c r="C696" s="6"/>
      <c r="D696" s="21"/>
      <c r="E696" s="22"/>
      <c r="F696" s="22"/>
      <c r="G696" s="22"/>
      <c r="H696" s="22"/>
    </row>
    <row r="697">
      <c r="A697" s="11"/>
      <c r="B697" s="11"/>
      <c r="C697" s="11"/>
      <c r="D697" s="24"/>
      <c r="E697" s="25"/>
      <c r="F697" s="25"/>
      <c r="G697" s="25"/>
      <c r="H697" s="25"/>
    </row>
    <row r="698">
      <c r="A698" s="6"/>
      <c r="B698" s="6"/>
      <c r="C698" s="6"/>
      <c r="D698" s="21"/>
      <c r="E698" s="22"/>
      <c r="F698" s="22"/>
      <c r="G698" s="22"/>
      <c r="H698" s="22"/>
    </row>
    <row r="699">
      <c r="A699" s="11"/>
      <c r="B699" s="11"/>
      <c r="C699" s="11"/>
      <c r="D699" s="24"/>
      <c r="E699" s="25"/>
      <c r="F699" s="25"/>
      <c r="G699" s="25"/>
      <c r="H699" s="25"/>
    </row>
    <row r="700">
      <c r="A700" s="6"/>
      <c r="B700" s="6"/>
      <c r="C700" s="6"/>
      <c r="D700" s="21"/>
      <c r="E700" s="22"/>
      <c r="F700" s="22"/>
      <c r="G700" s="22"/>
      <c r="H700" s="22"/>
    </row>
    <row r="701">
      <c r="A701" s="11"/>
      <c r="B701" s="11"/>
      <c r="C701" s="11"/>
      <c r="D701" s="24"/>
      <c r="E701" s="25"/>
      <c r="F701" s="25"/>
      <c r="G701" s="25"/>
      <c r="H701" s="25"/>
    </row>
    <row r="702">
      <c r="A702" s="6"/>
      <c r="B702" s="6"/>
      <c r="C702" s="6"/>
      <c r="D702" s="21"/>
      <c r="E702" s="22"/>
      <c r="F702" s="22"/>
      <c r="G702" s="22"/>
      <c r="H702" s="22"/>
    </row>
    <row r="703">
      <c r="A703" s="11"/>
      <c r="B703" s="11"/>
      <c r="C703" s="11"/>
      <c r="D703" s="24"/>
      <c r="E703" s="25"/>
      <c r="F703" s="25"/>
      <c r="G703" s="25"/>
      <c r="H703" s="25"/>
    </row>
    <row r="704">
      <c r="A704" s="6"/>
      <c r="B704" s="6"/>
      <c r="C704" s="6"/>
      <c r="D704" s="21"/>
      <c r="E704" s="22"/>
      <c r="F704" s="22"/>
      <c r="G704" s="22"/>
      <c r="H704" s="22"/>
    </row>
    <row r="705">
      <c r="A705" s="11"/>
      <c r="B705" s="11"/>
      <c r="C705" s="11"/>
      <c r="D705" s="24"/>
      <c r="E705" s="25"/>
      <c r="F705" s="25"/>
      <c r="G705" s="25"/>
      <c r="H705" s="25"/>
    </row>
    <row r="706">
      <c r="A706" s="6"/>
      <c r="B706" s="6"/>
      <c r="C706" s="6"/>
      <c r="D706" s="21"/>
      <c r="E706" s="22"/>
      <c r="F706" s="22"/>
      <c r="G706" s="22"/>
      <c r="H706" s="22"/>
    </row>
    <row r="707">
      <c r="A707" s="11"/>
      <c r="B707" s="11"/>
      <c r="C707" s="11"/>
      <c r="D707" s="24"/>
      <c r="E707" s="25"/>
      <c r="F707" s="25"/>
      <c r="G707" s="25"/>
      <c r="H707" s="25"/>
    </row>
    <row r="708">
      <c r="A708" s="6"/>
      <c r="B708" s="6"/>
      <c r="C708" s="6"/>
      <c r="D708" s="21"/>
      <c r="E708" s="22"/>
      <c r="F708" s="22"/>
      <c r="G708" s="22"/>
      <c r="H708" s="22"/>
    </row>
    <row r="709">
      <c r="A709" s="11"/>
      <c r="B709" s="11"/>
      <c r="C709" s="11"/>
      <c r="D709" s="24"/>
      <c r="E709" s="25"/>
      <c r="F709" s="25"/>
      <c r="G709" s="25"/>
      <c r="H709" s="25"/>
    </row>
    <row r="710">
      <c r="A710" s="6"/>
      <c r="B710" s="6"/>
      <c r="C710" s="6"/>
      <c r="D710" s="21"/>
      <c r="E710" s="22"/>
      <c r="F710" s="22"/>
      <c r="G710" s="22"/>
      <c r="H710" s="22"/>
    </row>
    <row r="711">
      <c r="A711" s="11"/>
      <c r="B711" s="11"/>
      <c r="C711" s="11"/>
      <c r="D711" s="24"/>
      <c r="E711" s="25"/>
      <c r="F711" s="25"/>
      <c r="G711" s="25"/>
      <c r="H711" s="25"/>
    </row>
    <row r="712">
      <c r="A712" s="6"/>
      <c r="B712" s="6"/>
      <c r="C712" s="6"/>
      <c r="D712" s="21"/>
      <c r="E712" s="22"/>
      <c r="F712" s="22"/>
      <c r="G712" s="22"/>
      <c r="H712" s="22"/>
    </row>
    <row r="713">
      <c r="A713" s="11"/>
      <c r="B713" s="11"/>
      <c r="C713" s="11"/>
      <c r="D713" s="24"/>
      <c r="E713" s="25"/>
      <c r="F713" s="25"/>
      <c r="G713" s="25"/>
      <c r="H713" s="25"/>
    </row>
    <row r="714">
      <c r="A714" s="6"/>
      <c r="B714" s="6"/>
      <c r="C714" s="6"/>
      <c r="D714" s="21"/>
      <c r="E714" s="22"/>
      <c r="F714" s="22"/>
      <c r="G714" s="22"/>
      <c r="H714" s="22"/>
    </row>
    <row r="715">
      <c r="A715" s="11"/>
      <c r="B715" s="11"/>
      <c r="C715" s="11"/>
      <c r="D715" s="24"/>
      <c r="E715" s="25"/>
      <c r="F715" s="25"/>
      <c r="G715" s="25"/>
      <c r="H715" s="25"/>
    </row>
    <row r="716">
      <c r="A716" s="6"/>
      <c r="B716" s="6"/>
      <c r="C716" s="6"/>
      <c r="D716" s="21"/>
      <c r="E716" s="22"/>
      <c r="F716" s="22"/>
      <c r="G716" s="22"/>
      <c r="H716" s="22"/>
    </row>
    <row r="717">
      <c r="A717" s="11"/>
      <c r="B717" s="11"/>
      <c r="C717" s="11"/>
      <c r="D717" s="24"/>
      <c r="E717" s="25"/>
      <c r="F717" s="25"/>
      <c r="G717" s="25"/>
      <c r="H717" s="25"/>
    </row>
    <row r="718">
      <c r="A718" s="6"/>
      <c r="B718" s="6"/>
      <c r="C718" s="6"/>
      <c r="D718" s="21"/>
      <c r="E718" s="22"/>
      <c r="F718" s="22"/>
      <c r="G718" s="22"/>
      <c r="H718" s="22"/>
    </row>
    <row r="719">
      <c r="A719" s="11"/>
      <c r="B719" s="11"/>
      <c r="C719" s="11"/>
      <c r="D719" s="24"/>
      <c r="E719" s="25"/>
      <c r="F719" s="25"/>
      <c r="G719" s="25"/>
      <c r="H719" s="25"/>
    </row>
    <row r="720">
      <c r="A720" s="6"/>
      <c r="B720" s="6"/>
      <c r="C720" s="6"/>
      <c r="D720" s="21"/>
      <c r="E720" s="22"/>
      <c r="F720" s="22"/>
      <c r="G720" s="22"/>
      <c r="H720" s="22"/>
    </row>
    <row r="721">
      <c r="A721" s="11"/>
      <c r="B721" s="11"/>
      <c r="C721" s="11"/>
      <c r="D721" s="24"/>
      <c r="E721" s="25"/>
      <c r="F721" s="25"/>
      <c r="G721" s="25"/>
      <c r="H721" s="25"/>
    </row>
    <row r="722">
      <c r="A722" s="6"/>
      <c r="B722" s="6"/>
      <c r="C722" s="6"/>
      <c r="D722" s="21"/>
      <c r="E722" s="22"/>
      <c r="F722" s="22"/>
      <c r="G722" s="22"/>
      <c r="H722" s="22"/>
    </row>
    <row r="723">
      <c r="A723" s="11"/>
      <c r="B723" s="11"/>
      <c r="C723" s="11"/>
      <c r="D723" s="24"/>
      <c r="E723" s="25"/>
      <c r="F723" s="25"/>
      <c r="G723" s="25"/>
      <c r="H723" s="25"/>
    </row>
    <row r="724">
      <c r="A724" s="6"/>
      <c r="B724" s="6"/>
      <c r="C724" s="6"/>
      <c r="D724" s="21"/>
      <c r="E724" s="22"/>
      <c r="F724" s="22"/>
      <c r="G724" s="22"/>
      <c r="H724" s="22"/>
    </row>
    <row r="725">
      <c r="A725" s="11"/>
      <c r="B725" s="11"/>
      <c r="C725" s="11"/>
      <c r="D725" s="24"/>
      <c r="E725" s="25"/>
      <c r="F725" s="25"/>
      <c r="G725" s="25"/>
      <c r="H725" s="25"/>
    </row>
    <row r="726">
      <c r="A726" s="6"/>
      <c r="B726" s="6"/>
      <c r="C726" s="6"/>
      <c r="D726" s="21"/>
      <c r="E726" s="22"/>
      <c r="F726" s="22"/>
      <c r="G726" s="22"/>
      <c r="H726" s="22"/>
    </row>
    <row r="727">
      <c r="A727" s="11"/>
      <c r="B727" s="11"/>
      <c r="C727" s="11"/>
      <c r="D727" s="24"/>
      <c r="E727" s="25"/>
      <c r="F727" s="25"/>
      <c r="G727" s="25"/>
      <c r="H727" s="25"/>
    </row>
    <row r="728">
      <c r="A728" s="6"/>
      <c r="B728" s="6"/>
      <c r="C728" s="6"/>
      <c r="D728" s="21"/>
      <c r="E728" s="22"/>
      <c r="F728" s="22"/>
      <c r="G728" s="22"/>
      <c r="H728" s="22"/>
    </row>
    <row r="729">
      <c r="A729" s="11"/>
      <c r="B729" s="11"/>
      <c r="C729" s="11"/>
      <c r="D729" s="24"/>
      <c r="E729" s="25"/>
      <c r="F729" s="25"/>
      <c r="G729" s="25"/>
      <c r="H729" s="25"/>
    </row>
    <row r="730">
      <c r="A730" s="6"/>
      <c r="B730" s="6"/>
      <c r="C730" s="6"/>
      <c r="D730" s="21"/>
      <c r="E730" s="22"/>
      <c r="F730" s="22"/>
      <c r="G730" s="22"/>
      <c r="H730" s="22"/>
    </row>
    <row r="731">
      <c r="A731" s="11"/>
      <c r="B731" s="11"/>
      <c r="C731" s="11"/>
      <c r="D731" s="24"/>
      <c r="E731" s="25"/>
      <c r="F731" s="25"/>
      <c r="G731" s="25"/>
      <c r="H731" s="25"/>
    </row>
    <row r="732">
      <c r="A732" s="6"/>
      <c r="B732" s="6"/>
      <c r="C732" s="6"/>
      <c r="D732" s="21"/>
      <c r="E732" s="22"/>
      <c r="F732" s="22"/>
      <c r="G732" s="22"/>
      <c r="H732" s="22"/>
    </row>
    <row r="733">
      <c r="A733" s="11"/>
      <c r="B733" s="11"/>
      <c r="C733" s="11"/>
      <c r="D733" s="24"/>
      <c r="E733" s="25"/>
      <c r="F733" s="25"/>
      <c r="G733" s="25"/>
      <c r="H733" s="25"/>
    </row>
    <row r="734">
      <c r="A734" s="6"/>
      <c r="B734" s="6"/>
      <c r="C734" s="6"/>
      <c r="D734" s="21"/>
      <c r="E734" s="22"/>
      <c r="F734" s="22"/>
      <c r="G734" s="22"/>
      <c r="H734" s="22"/>
    </row>
    <row r="735">
      <c r="A735" s="11"/>
      <c r="B735" s="11"/>
      <c r="C735" s="11"/>
      <c r="D735" s="24"/>
      <c r="E735" s="25"/>
      <c r="F735" s="25"/>
      <c r="G735" s="25"/>
      <c r="H735" s="25"/>
    </row>
    <row r="736">
      <c r="A736" s="6"/>
      <c r="B736" s="6"/>
      <c r="C736" s="6"/>
      <c r="D736" s="21"/>
      <c r="E736" s="22"/>
      <c r="F736" s="22"/>
      <c r="G736" s="22"/>
      <c r="H736" s="22"/>
    </row>
    <row r="737">
      <c r="A737" s="11"/>
      <c r="B737" s="11"/>
      <c r="C737" s="11"/>
      <c r="D737" s="24"/>
      <c r="E737" s="25"/>
      <c r="F737" s="25"/>
      <c r="G737" s="25"/>
      <c r="H737" s="25"/>
    </row>
    <row r="738">
      <c r="A738" s="6"/>
      <c r="B738" s="6"/>
      <c r="C738" s="6"/>
      <c r="D738" s="21"/>
      <c r="E738" s="22"/>
      <c r="F738" s="22"/>
      <c r="G738" s="22"/>
      <c r="H738" s="22"/>
    </row>
    <row r="739">
      <c r="A739" s="11"/>
      <c r="B739" s="11"/>
      <c r="C739" s="11"/>
      <c r="D739" s="24"/>
      <c r="E739" s="25"/>
      <c r="F739" s="25"/>
      <c r="G739" s="25"/>
      <c r="H739" s="25"/>
    </row>
    <row r="740">
      <c r="A740" s="6"/>
      <c r="B740" s="6"/>
      <c r="C740" s="6"/>
      <c r="D740" s="21"/>
      <c r="E740" s="22"/>
      <c r="F740" s="22"/>
      <c r="G740" s="22"/>
      <c r="H740" s="22"/>
    </row>
    <row r="741">
      <c r="A741" s="11"/>
      <c r="B741" s="11"/>
      <c r="C741" s="11"/>
      <c r="D741" s="24"/>
      <c r="E741" s="25"/>
      <c r="F741" s="25"/>
      <c r="G741" s="25"/>
      <c r="H741" s="25"/>
    </row>
    <row r="742">
      <c r="A742" s="6"/>
      <c r="B742" s="6"/>
      <c r="C742" s="6"/>
      <c r="D742" s="21"/>
      <c r="E742" s="22"/>
      <c r="F742" s="22"/>
      <c r="G742" s="22"/>
      <c r="H742" s="22"/>
    </row>
    <row r="743">
      <c r="A743" s="11"/>
      <c r="B743" s="11"/>
      <c r="C743" s="11"/>
      <c r="D743" s="24"/>
      <c r="E743" s="25"/>
      <c r="F743" s="25"/>
      <c r="G743" s="25"/>
      <c r="H743" s="25"/>
    </row>
    <row r="744">
      <c r="A744" s="6"/>
      <c r="B744" s="6"/>
      <c r="C744" s="6"/>
      <c r="D744" s="21"/>
      <c r="E744" s="22"/>
      <c r="F744" s="22"/>
      <c r="G744" s="22"/>
      <c r="H744" s="22"/>
    </row>
    <row r="745">
      <c r="A745" s="11"/>
      <c r="B745" s="11"/>
      <c r="C745" s="11"/>
      <c r="D745" s="24"/>
      <c r="E745" s="25"/>
      <c r="F745" s="25"/>
      <c r="G745" s="25"/>
      <c r="H745" s="25"/>
    </row>
    <row r="746">
      <c r="A746" s="6"/>
      <c r="B746" s="6"/>
      <c r="C746" s="6"/>
      <c r="D746" s="21"/>
      <c r="E746" s="22"/>
      <c r="F746" s="22"/>
      <c r="G746" s="22"/>
      <c r="H746" s="22"/>
    </row>
    <row r="747">
      <c r="A747" s="11"/>
      <c r="B747" s="11"/>
      <c r="C747" s="11"/>
      <c r="D747" s="24"/>
      <c r="E747" s="25"/>
      <c r="F747" s="25"/>
      <c r="G747" s="25"/>
      <c r="H747" s="25"/>
    </row>
    <row r="748">
      <c r="A748" s="6"/>
      <c r="B748" s="6"/>
      <c r="C748" s="6"/>
      <c r="D748" s="21"/>
      <c r="E748" s="22"/>
      <c r="F748" s="22"/>
      <c r="G748" s="22"/>
      <c r="H748" s="22"/>
    </row>
    <row r="749">
      <c r="A749" s="11"/>
      <c r="B749" s="11"/>
      <c r="C749" s="11"/>
      <c r="D749" s="24"/>
      <c r="E749" s="25"/>
      <c r="F749" s="25"/>
      <c r="G749" s="25"/>
      <c r="H749" s="25"/>
    </row>
    <row r="750">
      <c r="A750" s="6"/>
      <c r="B750" s="6"/>
      <c r="C750" s="6"/>
      <c r="D750" s="21"/>
      <c r="E750" s="22"/>
      <c r="F750" s="22"/>
      <c r="G750" s="22"/>
      <c r="H750" s="22"/>
    </row>
    <row r="751">
      <c r="A751" s="11"/>
      <c r="B751" s="11"/>
      <c r="C751" s="11"/>
      <c r="D751" s="24"/>
      <c r="E751" s="25"/>
      <c r="F751" s="25"/>
      <c r="G751" s="25"/>
      <c r="H751" s="25"/>
    </row>
    <row r="752">
      <c r="A752" s="6"/>
      <c r="B752" s="6"/>
      <c r="C752" s="6"/>
      <c r="D752" s="21"/>
      <c r="E752" s="22"/>
      <c r="F752" s="22"/>
      <c r="G752" s="22"/>
      <c r="H752" s="22"/>
    </row>
    <row r="753">
      <c r="A753" s="11"/>
      <c r="B753" s="11"/>
      <c r="C753" s="11"/>
      <c r="D753" s="24"/>
      <c r="E753" s="25"/>
      <c r="F753" s="25"/>
      <c r="G753" s="25"/>
      <c r="H753" s="25"/>
    </row>
    <row r="754">
      <c r="A754" s="6"/>
      <c r="B754" s="6"/>
      <c r="C754" s="6"/>
      <c r="D754" s="21"/>
      <c r="E754" s="22"/>
      <c r="F754" s="22"/>
      <c r="G754" s="22"/>
      <c r="H754" s="22"/>
    </row>
    <row r="755">
      <c r="A755" s="11"/>
      <c r="B755" s="11"/>
      <c r="C755" s="11"/>
      <c r="D755" s="24"/>
      <c r="E755" s="25"/>
      <c r="F755" s="25"/>
      <c r="G755" s="25"/>
      <c r="H755" s="25"/>
    </row>
    <row r="756">
      <c r="A756" s="6"/>
      <c r="B756" s="6"/>
      <c r="C756" s="6"/>
      <c r="D756" s="21"/>
      <c r="E756" s="22"/>
      <c r="F756" s="22"/>
      <c r="G756" s="22"/>
      <c r="H756" s="22"/>
    </row>
    <row r="757">
      <c r="A757" s="11"/>
      <c r="B757" s="11"/>
      <c r="C757" s="11"/>
      <c r="D757" s="24"/>
      <c r="E757" s="25"/>
      <c r="F757" s="25"/>
      <c r="G757" s="25"/>
      <c r="H757" s="25"/>
    </row>
    <row r="758">
      <c r="A758" s="6"/>
      <c r="B758" s="6"/>
      <c r="C758" s="6"/>
      <c r="D758" s="21"/>
      <c r="E758" s="22"/>
      <c r="F758" s="22"/>
      <c r="G758" s="22"/>
      <c r="H758" s="22"/>
    </row>
    <row r="759">
      <c r="A759" s="11"/>
      <c r="B759" s="11"/>
      <c r="C759" s="11"/>
      <c r="D759" s="24"/>
      <c r="E759" s="25"/>
      <c r="F759" s="25"/>
      <c r="G759" s="25"/>
      <c r="H759" s="25"/>
    </row>
    <row r="760">
      <c r="A760" s="6"/>
      <c r="B760" s="6"/>
      <c r="C760" s="6"/>
      <c r="D760" s="21"/>
      <c r="E760" s="22"/>
      <c r="F760" s="22"/>
      <c r="G760" s="22"/>
      <c r="H760" s="22"/>
    </row>
    <row r="761">
      <c r="A761" s="11"/>
      <c r="B761" s="11"/>
      <c r="C761" s="11"/>
      <c r="D761" s="24"/>
      <c r="E761" s="25"/>
      <c r="F761" s="25"/>
      <c r="G761" s="25"/>
      <c r="H761" s="25"/>
    </row>
    <row r="762">
      <c r="A762" s="6"/>
      <c r="B762" s="6"/>
      <c r="C762" s="6"/>
      <c r="D762" s="21"/>
      <c r="E762" s="22"/>
      <c r="F762" s="22"/>
      <c r="G762" s="22"/>
      <c r="H762" s="22"/>
    </row>
    <row r="763">
      <c r="A763" s="11"/>
      <c r="B763" s="11"/>
      <c r="C763" s="11"/>
      <c r="D763" s="24"/>
      <c r="E763" s="25"/>
      <c r="F763" s="25"/>
      <c r="G763" s="25"/>
      <c r="H763" s="25"/>
    </row>
    <row r="764">
      <c r="A764" s="6"/>
      <c r="B764" s="6"/>
      <c r="C764" s="6"/>
      <c r="D764" s="21"/>
      <c r="E764" s="22"/>
      <c r="F764" s="22"/>
      <c r="G764" s="22"/>
      <c r="H764" s="22"/>
    </row>
    <row r="765">
      <c r="A765" s="11"/>
      <c r="B765" s="11"/>
      <c r="C765" s="11"/>
      <c r="D765" s="24"/>
      <c r="E765" s="25"/>
      <c r="F765" s="25"/>
      <c r="G765" s="25"/>
      <c r="H765" s="25"/>
    </row>
    <row r="766">
      <c r="A766" s="6"/>
      <c r="B766" s="6"/>
      <c r="C766" s="6"/>
      <c r="D766" s="21"/>
      <c r="E766" s="22"/>
      <c r="F766" s="22"/>
      <c r="G766" s="22"/>
      <c r="H766" s="22"/>
    </row>
    <row r="767">
      <c r="A767" s="11"/>
      <c r="B767" s="11"/>
      <c r="C767" s="11"/>
      <c r="D767" s="24"/>
      <c r="E767" s="25"/>
      <c r="F767" s="25"/>
      <c r="G767" s="25"/>
      <c r="H767" s="25"/>
    </row>
    <row r="768">
      <c r="A768" s="6"/>
      <c r="B768" s="6"/>
      <c r="C768" s="6"/>
      <c r="D768" s="21"/>
      <c r="E768" s="22"/>
      <c r="F768" s="22"/>
      <c r="G768" s="22"/>
      <c r="H768" s="22"/>
    </row>
    <row r="769">
      <c r="A769" s="11"/>
      <c r="B769" s="11"/>
      <c r="C769" s="11"/>
      <c r="D769" s="24"/>
      <c r="E769" s="25"/>
      <c r="F769" s="25"/>
      <c r="G769" s="25"/>
      <c r="H769" s="25"/>
    </row>
    <row r="770">
      <c r="A770" s="6"/>
      <c r="B770" s="6"/>
      <c r="C770" s="6"/>
      <c r="D770" s="21"/>
      <c r="E770" s="22"/>
      <c r="F770" s="22"/>
      <c r="G770" s="22"/>
      <c r="H770" s="22"/>
    </row>
    <row r="771">
      <c r="A771" s="11"/>
      <c r="B771" s="11"/>
      <c r="C771" s="11"/>
      <c r="D771" s="24"/>
      <c r="E771" s="25"/>
      <c r="F771" s="25"/>
      <c r="G771" s="25"/>
      <c r="H771" s="25"/>
    </row>
    <row r="772">
      <c r="A772" s="6"/>
      <c r="B772" s="6"/>
      <c r="C772" s="6"/>
      <c r="D772" s="21"/>
      <c r="E772" s="22"/>
      <c r="F772" s="22"/>
      <c r="G772" s="22"/>
      <c r="H772" s="22"/>
    </row>
    <row r="773">
      <c r="A773" s="11"/>
      <c r="B773" s="11"/>
      <c r="C773" s="11"/>
      <c r="D773" s="24"/>
      <c r="E773" s="25"/>
      <c r="F773" s="25"/>
      <c r="G773" s="25"/>
      <c r="H773" s="25"/>
    </row>
    <row r="774">
      <c r="A774" s="6"/>
      <c r="B774" s="6"/>
      <c r="C774" s="6"/>
      <c r="D774" s="21"/>
      <c r="E774" s="22"/>
      <c r="F774" s="22"/>
      <c r="G774" s="22"/>
      <c r="H774" s="22"/>
    </row>
    <row r="775">
      <c r="A775" s="11"/>
      <c r="B775" s="11"/>
      <c r="C775" s="11"/>
      <c r="D775" s="24"/>
      <c r="E775" s="25"/>
      <c r="F775" s="25"/>
      <c r="G775" s="25"/>
      <c r="H775" s="25"/>
    </row>
    <row r="776">
      <c r="A776" s="6"/>
      <c r="B776" s="6"/>
      <c r="C776" s="6"/>
      <c r="D776" s="21"/>
      <c r="E776" s="22"/>
      <c r="F776" s="22"/>
      <c r="G776" s="22"/>
      <c r="H776" s="22"/>
    </row>
    <row r="777">
      <c r="A777" s="11"/>
      <c r="B777" s="11"/>
      <c r="C777" s="11"/>
      <c r="D777" s="24"/>
      <c r="E777" s="25"/>
      <c r="F777" s="25"/>
      <c r="G777" s="25"/>
      <c r="H777" s="25"/>
    </row>
    <row r="778">
      <c r="A778" s="6"/>
      <c r="B778" s="6"/>
      <c r="C778" s="6"/>
      <c r="D778" s="21"/>
      <c r="E778" s="22"/>
      <c r="F778" s="22"/>
      <c r="G778" s="22"/>
      <c r="H778" s="22"/>
    </row>
    <row r="779">
      <c r="A779" s="11"/>
      <c r="B779" s="11"/>
      <c r="C779" s="11"/>
      <c r="D779" s="24"/>
      <c r="E779" s="25"/>
      <c r="F779" s="25"/>
      <c r="G779" s="25"/>
      <c r="H779" s="25"/>
    </row>
    <row r="780">
      <c r="A780" s="6"/>
      <c r="B780" s="6"/>
      <c r="C780" s="6"/>
      <c r="D780" s="21"/>
      <c r="E780" s="22"/>
      <c r="F780" s="22"/>
      <c r="G780" s="22"/>
      <c r="H780" s="22"/>
    </row>
    <row r="781">
      <c r="A781" s="11"/>
      <c r="B781" s="11"/>
      <c r="C781" s="11"/>
      <c r="D781" s="24"/>
      <c r="E781" s="25"/>
      <c r="F781" s="25"/>
      <c r="G781" s="25"/>
      <c r="H781" s="25"/>
    </row>
    <row r="782">
      <c r="A782" s="6"/>
      <c r="B782" s="6"/>
      <c r="C782" s="6"/>
      <c r="D782" s="21"/>
      <c r="E782" s="22"/>
      <c r="F782" s="22"/>
      <c r="G782" s="22"/>
      <c r="H782" s="22"/>
    </row>
    <row r="783">
      <c r="A783" s="11"/>
      <c r="B783" s="11"/>
      <c r="C783" s="11"/>
      <c r="D783" s="24"/>
      <c r="E783" s="25"/>
      <c r="F783" s="25"/>
      <c r="G783" s="25"/>
      <c r="H783" s="25"/>
    </row>
    <row r="784">
      <c r="A784" s="6"/>
      <c r="B784" s="6"/>
      <c r="C784" s="6"/>
      <c r="D784" s="21"/>
      <c r="E784" s="22"/>
      <c r="F784" s="22"/>
      <c r="G784" s="22"/>
      <c r="H784" s="22"/>
    </row>
    <row r="785">
      <c r="A785" s="11"/>
      <c r="B785" s="11"/>
      <c r="C785" s="11"/>
      <c r="D785" s="24"/>
      <c r="E785" s="25"/>
      <c r="F785" s="25"/>
      <c r="G785" s="25"/>
      <c r="H785" s="25"/>
    </row>
    <row r="786">
      <c r="A786" s="6"/>
      <c r="B786" s="6"/>
      <c r="C786" s="6"/>
      <c r="D786" s="21"/>
      <c r="E786" s="22"/>
      <c r="F786" s="22"/>
      <c r="G786" s="22"/>
      <c r="H786" s="22"/>
    </row>
    <row r="787">
      <c r="A787" s="11"/>
      <c r="B787" s="11"/>
      <c r="C787" s="11"/>
      <c r="D787" s="24"/>
      <c r="E787" s="25"/>
      <c r="F787" s="25"/>
      <c r="G787" s="25"/>
      <c r="H787" s="25"/>
    </row>
    <row r="788">
      <c r="A788" s="6"/>
      <c r="B788" s="6"/>
      <c r="C788" s="6"/>
      <c r="D788" s="21"/>
      <c r="E788" s="22"/>
      <c r="F788" s="22"/>
      <c r="G788" s="22"/>
      <c r="H788" s="22"/>
    </row>
    <row r="789">
      <c r="A789" s="11"/>
      <c r="B789" s="11"/>
      <c r="C789" s="11"/>
      <c r="D789" s="24"/>
      <c r="E789" s="25"/>
      <c r="F789" s="25"/>
      <c r="G789" s="25"/>
      <c r="H789" s="25"/>
    </row>
    <row r="790">
      <c r="A790" s="6"/>
      <c r="B790" s="6"/>
      <c r="C790" s="6"/>
      <c r="D790" s="21"/>
      <c r="E790" s="22"/>
      <c r="F790" s="22"/>
      <c r="G790" s="22"/>
      <c r="H790" s="22"/>
    </row>
    <row r="791">
      <c r="A791" s="11"/>
      <c r="B791" s="11"/>
      <c r="C791" s="11"/>
      <c r="D791" s="24"/>
      <c r="E791" s="25"/>
      <c r="F791" s="25"/>
      <c r="G791" s="25"/>
      <c r="H791" s="25"/>
    </row>
    <row r="792">
      <c r="A792" s="6"/>
      <c r="B792" s="6"/>
      <c r="C792" s="6"/>
      <c r="D792" s="21"/>
      <c r="E792" s="22"/>
      <c r="F792" s="22"/>
      <c r="G792" s="22"/>
      <c r="H792" s="22"/>
    </row>
    <row r="793">
      <c r="A793" s="11"/>
      <c r="B793" s="11"/>
      <c r="C793" s="11"/>
      <c r="D793" s="24"/>
      <c r="E793" s="25"/>
      <c r="F793" s="25"/>
      <c r="G793" s="25"/>
      <c r="H793" s="25"/>
    </row>
    <row r="794">
      <c r="A794" s="6"/>
      <c r="B794" s="6"/>
      <c r="C794" s="6"/>
      <c r="D794" s="21"/>
      <c r="E794" s="22"/>
      <c r="F794" s="22"/>
      <c r="G794" s="22"/>
      <c r="H794" s="22"/>
    </row>
    <row r="795">
      <c r="A795" s="11"/>
      <c r="B795" s="11"/>
      <c r="C795" s="11"/>
      <c r="D795" s="24"/>
      <c r="E795" s="25"/>
      <c r="F795" s="25"/>
      <c r="G795" s="25"/>
      <c r="H795" s="25"/>
    </row>
    <row r="796">
      <c r="A796" s="6"/>
      <c r="B796" s="6"/>
      <c r="C796" s="6"/>
      <c r="D796" s="21"/>
      <c r="E796" s="22"/>
      <c r="F796" s="22"/>
      <c r="G796" s="22"/>
      <c r="H796" s="22"/>
    </row>
    <row r="797">
      <c r="A797" s="11"/>
      <c r="B797" s="11"/>
      <c r="C797" s="11"/>
      <c r="D797" s="24"/>
      <c r="E797" s="25"/>
      <c r="F797" s="25"/>
      <c r="G797" s="25"/>
      <c r="H797" s="25"/>
    </row>
    <row r="798">
      <c r="A798" s="6"/>
      <c r="B798" s="6"/>
      <c r="C798" s="6"/>
      <c r="D798" s="21"/>
      <c r="E798" s="22"/>
      <c r="F798" s="22"/>
      <c r="G798" s="22"/>
      <c r="H798" s="22"/>
    </row>
    <row r="799">
      <c r="A799" s="11"/>
      <c r="B799" s="11"/>
      <c r="C799" s="11"/>
      <c r="D799" s="24"/>
      <c r="E799" s="25"/>
      <c r="F799" s="25"/>
      <c r="G799" s="25"/>
      <c r="H799" s="25"/>
    </row>
    <row r="800">
      <c r="A800" s="6"/>
      <c r="B800" s="6"/>
      <c r="C800" s="6"/>
      <c r="D800" s="21"/>
      <c r="E800" s="22"/>
      <c r="F800" s="22"/>
      <c r="G800" s="22"/>
      <c r="H800" s="22"/>
    </row>
    <row r="801">
      <c r="A801" s="11"/>
      <c r="B801" s="11"/>
      <c r="C801" s="11"/>
      <c r="D801" s="24"/>
      <c r="E801" s="25"/>
      <c r="F801" s="25"/>
      <c r="G801" s="25"/>
      <c r="H801" s="25"/>
    </row>
    <row r="802">
      <c r="A802" s="6"/>
      <c r="B802" s="6"/>
      <c r="C802" s="6"/>
      <c r="D802" s="21"/>
      <c r="E802" s="22"/>
      <c r="F802" s="22"/>
      <c r="G802" s="22"/>
      <c r="H802" s="22"/>
    </row>
    <row r="803">
      <c r="A803" s="11"/>
      <c r="B803" s="11"/>
      <c r="C803" s="11"/>
      <c r="D803" s="24"/>
      <c r="E803" s="25"/>
      <c r="F803" s="25"/>
      <c r="G803" s="25"/>
      <c r="H803" s="25"/>
    </row>
    <row r="804">
      <c r="A804" s="6"/>
      <c r="B804" s="6"/>
      <c r="C804" s="6"/>
      <c r="D804" s="21"/>
      <c r="E804" s="22"/>
      <c r="F804" s="22"/>
      <c r="G804" s="22"/>
      <c r="H804" s="22"/>
    </row>
    <row r="805">
      <c r="A805" s="11"/>
      <c r="B805" s="11"/>
      <c r="C805" s="11"/>
      <c r="D805" s="24"/>
      <c r="E805" s="25"/>
      <c r="F805" s="25"/>
      <c r="G805" s="25"/>
      <c r="H805" s="25"/>
    </row>
    <row r="806">
      <c r="A806" s="6"/>
      <c r="B806" s="6"/>
      <c r="C806" s="6"/>
      <c r="D806" s="21"/>
      <c r="E806" s="22"/>
      <c r="F806" s="22"/>
      <c r="G806" s="22"/>
      <c r="H806" s="22"/>
    </row>
    <row r="807">
      <c r="A807" s="11"/>
      <c r="B807" s="11"/>
      <c r="C807" s="11"/>
      <c r="D807" s="24"/>
      <c r="E807" s="25"/>
      <c r="F807" s="25"/>
      <c r="G807" s="25"/>
      <c r="H807" s="25"/>
    </row>
    <row r="808">
      <c r="A808" s="6"/>
      <c r="B808" s="6"/>
      <c r="C808" s="6"/>
      <c r="D808" s="21"/>
      <c r="E808" s="22"/>
      <c r="F808" s="22"/>
      <c r="G808" s="22"/>
      <c r="H808" s="22"/>
    </row>
    <row r="809">
      <c r="A809" s="11"/>
      <c r="B809" s="11"/>
      <c r="C809" s="11"/>
      <c r="D809" s="24"/>
      <c r="E809" s="25"/>
      <c r="F809" s="25"/>
      <c r="G809" s="25"/>
      <c r="H809" s="25"/>
    </row>
    <row r="810">
      <c r="A810" s="6"/>
      <c r="B810" s="6"/>
      <c r="C810" s="6"/>
      <c r="D810" s="21"/>
      <c r="E810" s="22"/>
      <c r="F810" s="22"/>
      <c r="G810" s="22"/>
      <c r="H810" s="22"/>
    </row>
    <row r="811">
      <c r="A811" s="11"/>
      <c r="B811" s="11"/>
      <c r="C811" s="11"/>
      <c r="D811" s="24"/>
      <c r="E811" s="25"/>
      <c r="F811" s="25"/>
      <c r="G811" s="25"/>
      <c r="H811" s="25"/>
    </row>
    <row r="812">
      <c r="A812" s="6"/>
      <c r="B812" s="6"/>
      <c r="C812" s="6"/>
      <c r="D812" s="21"/>
      <c r="E812" s="22"/>
      <c r="F812" s="22"/>
      <c r="G812" s="22"/>
      <c r="H812" s="22"/>
    </row>
    <row r="813">
      <c r="A813" s="11"/>
      <c r="B813" s="11"/>
      <c r="C813" s="11"/>
      <c r="D813" s="24"/>
      <c r="E813" s="25"/>
      <c r="F813" s="25"/>
      <c r="G813" s="25"/>
      <c r="H813" s="25"/>
    </row>
    <row r="814">
      <c r="A814" s="6"/>
      <c r="B814" s="6"/>
      <c r="C814" s="6"/>
      <c r="D814" s="21"/>
      <c r="E814" s="22"/>
      <c r="F814" s="22"/>
      <c r="G814" s="22"/>
      <c r="H814" s="22"/>
    </row>
    <row r="815">
      <c r="A815" s="11"/>
      <c r="B815" s="11"/>
      <c r="C815" s="11"/>
      <c r="D815" s="24"/>
      <c r="E815" s="25"/>
      <c r="F815" s="25"/>
      <c r="G815" s="25"/>
      <c r="H815" s="25"/>
    </row>
    <row r="816">
      <c r="A816" s="6"/>
      <c r="B816" s="6"/>
      <c r="C816" s="6"/>
      <c r="D816" s="21"/>
      <c r="E816" s="22"/>
      <c r="F816" s="22"/>
      <c r="G816" s="22"/>
      <c r="H816" s="22"/>
    </row>
    <row r="817">
      <c r="A817" s="11"/>
      <c r="B817" s="11"/>
      <c r="C817" s="11"/>
      <c r="D817" s="24"/>
      <c r="E817" s="25"/>
      <c r="F817" s="25"/>
      <c r="G817" s="25"/>
      <c r="H817" s="25"/>
    </row>
    <row r="818">
      <c r="A818" s="6"/>
      <c r="B818" s="6"/>
      <c r="C818" s="6"/>
      <c r="D818" s="21"/>
      <c r="E818" s="22"/>
      <c r="F818" s="22"/>
      <c r="G818" s="22"/>
      <c r="H818" s="22"/>
    </row>
    <row r="819">
      <c r="A819" s="11"/>
      <c r="B819" s="11"/>
      <c r="C819" s="11"/>
      <c r="D819" s="24"/>
      <c r="E819" s="25"/>
      <c r="F819" s="25"/>
      <c r="G819" s="25"/>
      <c r="H819" s="25"/>
    </row>
    <row r="820">
      <c r="A820" s="6"/>
      <c r="B820" s="6"/>
      <c r="C820" s="6"/>
      <c r="D820" s="21"/>
      <c r="E820" s="22"/>
      <c r="F820" s="22"/>
      <c r="G820" s="22"/>
      <c r="H820" s="22"/>
    </row>
    <row r="821">
      <c r="A821" s="11"/>
      <c r="B821" s="11"/>
      <c r="C821" s="11"/>
      <c r="D821" s="24"/>
      <c r="E821" s="25"/>
      <c r="F821" s="25"/>
      <c r="G821" s="25"/>
      <c r="H821" s="25"/>
    </row>
    <row r="822">
      <c r="A822" s="6"/>
      <c r="B822" s="6"/>
      <c r="C822" s="6"/>
      <c r="D822" s="21"/>
      <c r="E822" s="22"/>
      <c r="F822" s="22"/>
      <c r="G822" s="22"/>
      <c r="H822" s="22"/>
    </row>
    <row r="823">
      <c r="A823" s="11"/>
      <c r="B823" s="11"/>
      <c r="C823" s="11"/>
      <c r="D823" s="24"/>
      <c r="E823" s="25"/>
      <c r="F823" s="25"/>
      <c r="G823" s="25"/>
      <c r="H823" s="25"/>
    </row>
    <row r="824">
      <c r="A824" s="6"/>
      <c r="B824" s="6"/>
      <c r="C824" s="6"/>
      <c r="D824" s="21"/>
      <c r="E824" s="22"/>
      <c r="F824" s="22"/>
      <c r="G824" s="22"/>
      <c r="H824" s="22"/>
    </row>
    <row r="825">
      <c r="A825" s="11"/>
      <c r="B825" s="11"/>
      <c r="C825" s="11"/>
      <c r="D825" s="24"/>
      <c r="E825" s="25"/>
      <c r="F825" s="25"/>
      <c r="G825" s="25"/>
      <c r="H825" s="25"/>
    </row>
    <row r="826">
      <c r="A826" s="6"/>
      <c r="B826" s="6"/>
      <c r="C826" s="6"/>
      <c r="D826" s="21"/>
      <c r="E826" s="22"/>
      <c r="F826" s="22"/>
      <c r="G826" s="22"/>
      <c r="H826" s="22"/>
    </row>
    <row r="827">
      <c r="A827" s="11"/>
      <c r="B827" s="11"/>
      <c r="C827" s="11"/>
      <c r="D827" s="24"/>
      <c r="E827" s="25"/>
      <c r="F827" s="25"/>
      <c r="G827" s="25"/>
      <c r="H827" s="25"/>
    </row>
    <row r="828">
      <c r="A828" s="6"/>
      <c r="B828" s="6"/>
      <c r="C828" s="6"/>
      <c r="D828" s="21"/>
      <c r="E828" s="22"/>
      <c r="F828" s="22"/>
      <c r="G828" s="22"/>
      <c r="H828" s="22"/>
    </row>
    <row r="829">
      <c r="A829" s="11"/>
      <c r="B829" s="11"/>
      <c r="C829" s="11"/>
      <c r="D829" s="24"/>
      <c r="E829" s="25"/>
      <c r="F829" s="25"/>
      <c r="G829" s="25"/>
      <c r="H829" s="25"/>
    </row>
    <row r="830">
      <c r="A830" s="6"/>
      <c r="B830" s="6"/>
      <c r="C830" s="6"/>
      <c r="D830" s="21"/>
      <c r="E830" s="22"/>
      <c r="F830" s="22"/>
      <c r="G830" s="22"/>
      <c r="H830" s="22"/>
    </row>
    <row r="831">
      <c r="A831" s="11"/>
      <c r="B831" s="11"/>
      <c r="C831" s="11"/>
      <c r="D831" s="24"/>
      <c r="E831" s="25"/>
      <c r="F831" s="25"/>
      <c r="G831" s="25"/>
      <c r="H831" s="25"/>
    </row>
    <row r="832">
      <c r="A832" s="6"/>
      <c r="B832" s="6"/>
      <c r="C832" s="6"/>
      <c r="D832" s="21"/>
      <c r="E832" s="22"/>
      <c r="F832" s="22"/>
      <c r="G832" s="22"/>
      <c r="H832" s="22"/>
    </row>
    <row r="833">
      <c r="A833" s="11"/>
      <c r="B833" s="11"/>
      <c r="C833" s="11"/>
      <c r="D833" s="24"/>
      <c r="E833" s="25"/>
      <c r="F833" s="25"/>
      <c r="G833" s="25"/>
      <c r="H833" s="25"/>
    </row>
    <row r="834">
      <c r="A834" s="6"/>
      <c r="B834" s="6"/>
      <c r="C834" s="6"/>
      <c r="D834" s="21"/>
      <c r="E834" s="22"/>
      <c r="F834" s="22"/>
      <c r="G834" s="22"/>
      <c r="H834" s="22"/>
    </row>
    <row r="835">
      <c r="A835" s="11"/>
      <c r="B835" s="11"/>
      <c r="C835" s="11"/>
      <c r="D835" s="24"/>
      <c r="E835" s="25"/>
      <c r="F835" s="25"/>
      <c r="G835" s="25"/>
      <c r="H835" s="25"/>
    </row>
    <row r="836">
      <c r="A836" s="6"/>
      <c r="B836" s="6"/>
      <c r="C836" s="6"/>
      <c r="D836" s="21"/>
      <c r="E836" s="22"/>
      <c r="F836" s="22"/>
      <c r="G836" s="22"/>
      <c r="H836" s="22"/>
    </row>
    <row r="837">
      <c r="A837" s="11"/>
      <c r="B837" s="11"/>
      <c r="C837" s="11"/>
      <c r="D837" s="24"/>
      <c r="E837" s="25"/>
      <c r="F837" s="25"/>
      <c r="G837" s="25"/>
      <c r="H837" s="25"/>
    </row>
    <row r="838">
      <c r="A838" s="6"/>
      <c r="B838" s="6"/>
      <c r="C838" s="6"/>
      <c r="D838" s="21"/>
      <c r="E838" s="22"/>
      <c r="F838" s="22"/>
      <c r="G838" s="22"/>
      <c r="H838" s="22"/>
    </row>
    <row r="839">
      <c r="A839" s="11"/>
      <c r="B839" s="11"/>
      <c r="C839" s="11"/>
      <c r="D839" s="24"/>
      <c r="E839" s="25"/>
      <c r="F839" s="25"/>
      <c r="G839" s="25"/>
      <c r="H839" s="25"/>
    </row>
    <row r="840">
      <c r="A840" s="6"/>
      <c r="B840" s="6"/>
      <c r="C840" s="6"/>
      <c r="D840" s="21"/>
      <c r="E840" s="22"/>
      <c r="F840" s="22"/>
      <c r="G840" s="22"/>
      <c r="H840" s="22"/>
    </row>
    <row r="841">
      <c r="A841" s="11"/>
      <c r="B841" s="11"/>
      <c r="C841" s="11"/>
      <c r="D841" s="24"/>
      <c r="E841" s="25"/>
      <c r="F841" s="25"/>
      <c r="G841" s="25"/>
      <c r="H841" s="25"/>
    </row>
    <row r="842">
      <c r="A842" s="6"/>
      <c r="B842" s="6"/>
      <c r="C842" s="6"/>
      <c r="D842" s="21"/>
      <c r="E842" s="22"/>
      <c r="F842" s="22"/>
      <c r="G842" s="22"/>
      <c r="H842" s="22"/>
    </row>
    <row r="843">
      <c r="A843" s="11"/>
      <c r="B843" s="11"/>
      <c r="C843" s="11"/>
      <c r="D843" s="24"/>
      <c r="E843" s="25"/>
      <c r="F843" s="25"/>
      <c r="G843" s="25"/>
      <c r="H843" s="25"/>
    </row>
    <row r="844">
      <c r="A844" s="6"/>
      <c r="B844" s="6"/>
      <c r="C844" s="6"/>
      <c r="D844" s="21"/>
      <c r="E844" s="22"/>
      <c r="F844" s="22"/>
      <c r="G844" s="22"/>
      <c r="H844" s="22"/>
    </row>
    <row r="845">
      <c r="A845" s="11"/>
      <c r="B845" s="11"/>
      <c r="C845" s="11"/>
      <c r="D845" s="24"/>
      <c r="E845" s="25"/>
      <c r="F845" s="25"/>
      <c r="G845" s="25"/>
      <c r="H845" s="25"/>
    </row>
    <row r="846">
      <c r="A846" s="6"/>
      <c r="B846" s="6"/>
      <c r="C846" s="6"/>
      <c r="D846" s="21"/>
      <c r="E846" s="22"/>
      <c r="F846" s="22"/>
      <c r="G846" s="22"/>
      <c r="H846" s="22"/>
    </row>
    <row r="847">
      <c r="A847" s="11"/>
      <c r="B847" s="11"/>
      <c r="C847" s="11"/>
      <c r="D847" s="24"/>
      <c r="E847" s="25"/>
      <c r="F847" s="25"/>
      <c r="G847" s="25"/>
      <c r="H847" s="25"/>
    </row>
    <row r="848">
      <c r="A848" s="6"/>
      <c r="B848" s="6"/>
      <c r="C848" s="6"/>
      <c r="D848" s="21"/>
      <c r="E848" s="22"/>
      <c r="F848" s="22"/>
      <c r="G848" s="22"/>
      <c r="H848" s="22"/>
    </row>
    <row r="849">
      <c r="A849" s="11"/>
      <c r="B849" s="11"/>
      <c r="C849" s="11"/>
      <c r="D849" s="24"/>
      <c r="E849" s="25"/>
      <c r="F849" s="25"/>
      <c r="G849" s="25"/>
      <c r="H849" s="25"/>
    </row>
    <row r="850">
      <c r="A850" s="6"/>
      <c r="B850" s="6"/>
      <c r="C850" s="6"/>
      <c r="D850" s="21"/>
      <c r="E850" s="22"/>
      <c r="F850" s="22"/>
      <c r="G850" s="22"/>
      <c r="H850" s="22"/>
    </row>
    <row r="851">
      <c r="A851" s="11"/>
      <c r="B851" s="11"/>
      <c r="C851" s="11"/>
      <c r="D851" s="24"/>
      <c r="E851" s="25"/>
      <c r="F851" s="25"/>
      <c r="G851" s="25"/>
      <c r="H851" s="25"/>
    </row>
    <row r="852">
      <c r="A852" s="6"/>
      <c r="B852" s="6"/>
      <c r="C852" s="6"/>
      <c r="D852" s="21"/>
      <c r="E852" s="22"/>
      <c r="F852" s="22"/>
      <c r="G852" s="22"/>
      <c r="H852" s="22"/>
    </row>
    <row r="853">
      <c r="A853" s="11"/>
      <c r="B853" s="11"/>
      <c r="C853" s="11"/>
      <c r="D853" s="24"/>
      <c r="E853" s="25"/>
      <c r="F853" s="25"/>
      <c r="G853" s="25"/>
      <c r="H853" s="25"/>
    </row>
    <row r="854">
      <c r="A854" s="6"/>
      <c r="B854" s="6"/>
      <c r="C854" s="6"/>
      <c r="D854" s="21"/>
      <c r="E854" s="22"/>
      <c r="F854" s="22"/>
      <c r="G854" s="22"/>
      <c r="H854" s="22"/>
    </row>
    <row r="855">
      <c r="A855" s="11"/>
      <c r="B855" s="11"/>
      <c r="C855" s="11"/>
      <c r="D855" s="24"/>
      <c r="E855" s="25"/>
      <c r="F855" s="25"/>
      <c r="G855" s="25"/>
      <c r="H855" s="25"/>
    </row>
    <row r="856">
      <c r="A856" s="6"/>
      <c r="B856" s="6"/>
      <c r="C856" s="6"/>
      <c r="D856" s="21"/>
      <c r="E856" s="22"/>
      <c r="F856" s="22"/>
      <c r="G856" s="22"/>
      <c r="H856" s="22"/>
    </row>
    <row r="857">
      <c r="A857" s="11"/>
      <c r="B857" s="11"/>
      <c r="C857" s="11"/>
      <c r="D857" s="24"/>
      <c r="E857" s="25"/>
      <c r="F857" s="25"/>
      <c r="G857" s="25"/>
      <c r="H857" s="25"/>
    </row>
    <row r="858">
      <c r="A858" s="6"/>
      <c r="B858" s="6"/>
      <c r="C858" s="6"/>
      <c r="D858" s="21"/>
      <c r="E858" s="22"/>
      <c r="F858" s="22"/>
      <c r="G858" s="22"/>
      <c r="H858" s="22"/>
    </row>
    <row r="859">
      <c r="A859" s="11"/>
      <c r="B859" s="11"/>
      <c r="C859" s="11"/>
      <c r="D859" s="24"/>
      <c r="E859" s="25"/>
      <c r="F859" s="25"/>
      <c r="G859" s="25"/>
      <c r="H859" s="25"/>
    </row>
    <row r="860">
      <c r="A860" s="6"/>
      <c r="B860" s="6"/>
      <c r="C860" s="6"/>
      <c r="D860" s="21"/>
      <c r="E860" s="22"/>
      <c r="F860" s="22"/>
      <c r="G860" s="22"/>
      <c r="H860" s="22"/>
    </row>
    <row r="861">
      <c r="A861" s="11"/>
      <c r="B861" s="11"/>
      <c r="C861" s="11"/>
      <c r="D861" s="24"/>
      <c r="E861" s="25"/>
      <c r="F861" s="25"/>
      <c r="G861" s="25"/>
      <c r="H861" s="25"/>
    </row>
    <row r="862">
      <c r="A862" s="6"/>
      <c r="B862" s="6"/>
      <c r="C862" s="6"/>
      <c r="D862" s="21"/>
      <c r="E862" s="22"/>
      <c r="F862" s="22"/>
      <c r="G862" s="22"/>
      <c r="H862" s="22"/>
    </row>
    <row r="863">
      <c r="A863" s="11"/>
      <c r="B863" s="11"/>
      <c r="C863" s="11"/>
      <c r="D863" s="24"/>
      <c r="E863" s="25"/>
      <c r="F863" s="25"/>
      <c r="G863" s="25"/>
      <c r="H863" s="25"/>
    </row>
    <row r="864">
      <c r="A864" s="6"/>
      <c r="B864" s="6"/>
      <c r="C864" s="6"/>
      <c r="D864" s="21"/>
      <c r="E864" s="22"/>
      <c r="F864" s="22"/>
      <c r="G864" s="22"/>
      <c r="H864" s="22"/>
    </row>
    <row r="865">
      <c r="A865" s="11"/>
      <c r="B865" s="11"/>
      <c r="C865" s="11"/>
      <c r="D865" s="24"/>
      <c r="E865" s="25"/>
      <c r="F865" s="25"/>
      <c r="G865" s="25"/>
      <c r="H865" s="25"/>
    </row>
    <row r="866">
      <c r="A866" s="6"/>
      <c r="B866" s="6"/>
      <c r="C866" s="6"/>
      <c r="D866" s="21"/>
      <c r="E866" s="22"/>
      <c r="F866" s="22"/>
      <c r="G866" s="22"/>
      <c r="H866" s="22"/>
    </row>
    <row r="867">
      <c r="A867" s="11"/>
      <c r="B867" s="11"/>
      <c r="C867" s="11"/>
      <c r="D867" s="24"/>
      <c r="E867" s="25"/>
      <c r="F867" s="25"/>
      <c r="G867" s="25"/>
      <c r="H867" s="25"/>
    </row>
    <row r="868">
      <c r="A868" s="6"/>
      <c r="B868" s="6"/>
      <c r="C868" s="6"/>
      <c r="D868" s="21"/>
      <c r="E868" s="22"/>
      <c r="F868" s="22"/>
      <c r="G868" s="22"/>
      <c r="H868" s="22"/>
    </row>
    <row r="869">
      <c r="A869" s="11"/>
      <c r="B869" s="11"/>
      <c r="C869" s="11"/>
      <c r="D869" s="24"/>
      <c r="E869" s="25"/>
      <c r="F869" s="25"/>
      <c r="G869" s="25"/>
      <c r="H869" s="25"/>
    </row>
    <row r="870">
      <c r="A870" s="6"/>
      <c r="B870" s="6"/>
      <c r="C870" s="6"/>
      <c r="D870" s="21"/>
      <c r="E870" s="22"/>
      <c r="F870" s="22"/>
      <c r="G870" s="22"/>
      <c r="H870" s="22"/>
    </row>
    <row r="871">
      <c r="A871" s="11"/>
      <c r="B871" s="11"/>
      <c r="C871" s="11"/>
      <c r="D871" s="24"/>
      <c r="E871" s="25"/>
      <c r="F871" s="25"/>
      <c r="G871" s="25"/>
      <c r="H871" s="25"/>
    </row>
    <row r="872">
      <c r="A872" s="6"/>
      <c r="B872" s="6"/>
      <c r="C872" s="6"/>
      <c r="D872" s="21"/>
      <c r="E872" s="22"/>
      <c r="F872" s="22"/>
      <c r="G872" s="22"/>
      <c r="H872" s="22"/>
    </row>
    <row r="873">
      <c r="A873" s="11"/>
      <c r="B873" s="11"/>
      <c r="C873" s="11"/>
      <c r="D873" s="24"/>
      <c r="E873" s="25"/>
      <c r="F873" s="25"/>
      <c r="G873" s="25"/>
      <c r="H873" s="25"/>
    </row>
    <row r="874">
      <c r="A874" s="6"/>
      <c r="B874" s="6"/>
      <c r="C874" s="6"/>
      <c r="D874" s="21"/>
      <c r="E874" s="22"/>
      <c r="F874" s="22"/>
      <c r="G874" s="22"/>
      <c r="H874" s="22"/>
    </row>
    <row r="875">
      <c r="A875" s="11"/>
      <c r="B875" s="11"/>
      <c r="C875" s="11"/>
      <c r="D875" s="24"/>
      <c r="E875" s="25"/>
      <c r="F875" s="25"/>
      <c r="G875" s="25"/>
      <c r="H875" s="25"/>
    </row>
    <row r="876">
      <c r="A876" s="6"/>
      <c r="B876" s="6"/>
      <c r="C876" s="6"/>
      <c r="D876" s="21"/>
      <c r="E876" s="22"/>
      <c r="F876" s="22"/>
      <c r="G876" s="22"/>
      <c r="H876" s="22"/>
    </row>
    <row r="877">
      <c r="A877" s="11"/>
      <c r="B877" s="11"/>
      <c r="C877" s="11"/>
      <c r="D877" s="24"/>
      <c r="E877" s="25"/>
      <c r="F877" s="25"/>
      <c r="G877" s="25"/>
      <c r="H877" s="25"/>
    </row>
    <row r="878">
      <c r="A878" s="6"/>
      <c r="B878" s="6"/>
      <c r="C878" s="6"/>
      <c r="D878" s="21"/>
      <c r="E878" s="22"/>
      <c r="F878" s="22"/>
      <c r="G878" s="22"/>
      <c r="H878" s="22"/>
    </row>
    <row r="879">
      <c r="A879" s="11"/>
      <c r="B879" s="11"/>
      <c r="C879" s="11"/>
      <c r="D879" s="24"/>
      <c r="E879" s="25"/>
      <c r="F879" s="25"/>
      <c r="G879" s="25"/>
      <c r="H879" s="25"/>
    </row>
    <row r="880">
      <c r="A880" s="6"/>
      <c r="B880" s="6"/>
      <c r="C880" s="6"/>
      <c r="D880" s="21"/>
      <c r="E880" s="22"/>
      <c r="F880" s="22"/>
      <c r="G880" s="22"/>
      <c r="H880" s="22"/>
    </row>
    <row r="881">
      <c r="A881" s="11"/>
      <c r="B881" s="11"/>
      <c r="C881" s="11"/>
      <c r="D881" s="24"/>
      <c r="E881" s="25"/>
      <c r="F881" s="25"/>
      <c r="G881" s="25"/>
      <c r="H881" s="25"/>
    </row>
    <row r="882">
      <c r="A882" s="6"/>
      <c r="B882" s="6"/>
      <c r="C882" s="6"/>
      <c r="D882" s="21"/>
      <c r="E882" s="22"/>
      <c r="F882" s="22"/>
      <c r="G882" s="22"/>
      <c r="H882" s="22"/>
    </row>
    <row r="883">
      <c r="A883" s="11"/>
      <c r="B883" s="11"/>
      <c r="C883" s="11"/>
      <c r="D883" s="24"/>
      <c r="E883" s="25"/>
      <c r="F883" s="25"/>
      <c r="G883" s="25"/>
      <c r="H883" s="25"/>
    </row>
    <row r="884">
      <c r="A884" s="6"/>
      <c r="B884" s="6"/>
      <c r="C884" s="6"/>
      <c r="D884" s="21"/>
      <c r="E884" s="22"/>
      <c r="F884" s="22"/>
      <c r="G884" s="22"/>
      <c r="H884" s="22"/>
    </row>
    <row r="885">
      <c r="A885" s="11"/>
      <c r="B885" s="11"/>
      <c r="C885" s="11"/>
      <c r="D885" s="24"/>
      <c r="E885" s="25"/>
      <c r="F885" s="25"/>
      <c r="G885" s="25"/>
      <c r="H885" s="25"/>
    </row>
    <row r="886">
      <c r="A886" s="6"/>
      <c r="B886" s="6"/>
      <c r="C886" s="6"/>
      <c r="D886" s="21"/>
      <c r="E886" s="22"/>
      <c r="F886" s="22"/>
      <c r="G886" s="22"/>
      <c r="H886" s="22"/>
    </row>
    <row r="887">
      <c r="A887" s="11"/>
      <c r="B887" s="11"/>
      <c r="C887" s="11"/>
      <c r="D887" s="24"/>
      <c r="E887" s="25"/>
      <c r="F887" s="25"/>
      <c r="G887" s="25"/>
      <c r="H887" s="25"/>
    </row>
    <row r="888">
      <c r="A888" s="6"/>
      <c r="B888" s="6"/>
      <c r="C888" s="6"/>
      <c r="D888" s="21"/>
      <c r="E888" s="22"/>
      <c r="F888" s="22"/>
      <c r="G888" s="22"/>
      <c r="H888" s="22"/>
    </row>
    <row r="889">
      <c r="A889" s="11"/>
      <c r="B889" s="11"/>
      <c r="C889" s="11"/>
      <c r="D889" s="24"/>
      <c r="E889" s="25"/>
      <c r="F889" s="25"/>
      <c r="G889" s="25"/>
      <c r="H889" s="25"/>
    </row>
    <row r="890">
      <c r="A890" s="6"/>
      <c r="B890" s="6"/>
      <c r="C890" s="6"/>
      <c r="D890" s="21"/>
      <c r="E890" s="22"/>
      <c r="F890" s="22"/>
      <c r="G890" s="22"/>
      <c r="H890" s="22"/>
    </row>
    <row r="891">
      <c r="A891" s="11"/>
      <c r="B891" s="11"/>
      <c r="C891" s="11"/>
      <c r="D891" s="24"/>
      <c r="E891" s="25"/>
      <c r="F891" s="25"/>
      <c r="G891" s="25"/>
      <c r="H891" s="25"/>
    </row>
    <row r="892">
      <c r="A892" s="6"/>
      <c r="B892" s="6"/>
      <c r="C892" s="6"/>
      <c r="D892" s="21"/>
      <c r="E892" s="22"/>
      <c r="F892" s="22"/>
      <c r="G892" s="22"/>
      <c r="H892" s="22"/>
    </row>
    <row r="893">
      <c r="A893" s="11"/>
      <c r="B893" s="11"/>
      <c r="C893" s="11"/>
      <c r="D893" s="24"/>
      <c r="E893" s="25"/>
      <c r="F893" s="25"/>
      <c r="G893" s="25"/>
      <c r="H893" s="25"/>
    </row>
    <row r="894">
      <c r="A894" s="6"/>
      <c r="B894" s="6"/>
      <c r="C894" s="6"/>
      <c r="D894" s="21"/>
      <c r="E894" s="22"/>
      <c r="F894" s="22"/>
      <c r="G894" s="22"/>
      <c r="H894" s="22"/>
    </row>
    <row r="895">
      <c r="A895" s="11"/>
      <c r="B895" s="11"/>
      <c r="C895" s="11"/>
      <c r="D895" s="24"/>
      <c r="E895" s="25"/>
      <c r="F895" s="25"/>
      <c r="G895" s="25"/>
      <c r="H895" s="25"/>
    </row>
    <row r="896">
      <c r="A896" s="6"/>
      <c r="B896" s="6"/>
      <c r="C896" s="6"/>
      <c r="D896" s="21"/>
      <c r="E896" s="22"/>
      <c r="F896" s="22"/>
      <c r="G896" s="22"/>
      <c r="H896" s="22"/>
    </row>
    <row r="897">
      <c r="A897" s="11"/>
      <c r="B897" s="11"/>
      <c r="C897" s="11"/>
      <c r="D897" s="24"/>
      <c r="E897" s="25"/>
      <c r="F897" s="25"/>
      <c r="G897" s="25"/>
      <c r="H897" s="25"/>
    </row>
    <row r="898">
      <c r="A898" s="6"/>
      <c r="B898" s="6"/>
      <c r="C898" s="6"/>
      <c r="D898" s="21"/>
      <c r="E898" s="22"/>
      <c r="F898" s="22"/>
      <c r="G898" s="22"/>
      <c r="H898" s="22"/>
    </row>
    <row r="899">
      <c r="A899" s="11"/>
      <c r="B899" s="11"/>
      <c r="C899" s="11"/>
      <c r="D899" s="24"/>
      <c r="E899" s="25"/>
      <c r="F899" s="25"/>
      <c r="G899" s="25"/>
      <c r="H899" s="25"/>
    </row>
    <row r="900">
      <c r="A900" s="6"/>
      <c r="B900" s="6"/>
      <c r="C900" s="6"/>
      <c r="D900" s="21"/>
      <c r="E900" s="22"/>
      <c r="F900" s="22"/>
      <c r="G900" s="22"/>
      <c r="H900" s="22"/>
    </row>
    <row r="901">
      <c r="A901" s="11"/>
      <c r="B901" s="11"/>
      <c r="C901" s="11"/>
      <c r="D901" s="24"/>
      <c r="E901" s="25"/>
      <c r="F901" s="25"/>
      <c r="G901" s="25"/>
      <c r="H901" s="25"/>
    </row>
    <row r="902">
      <c r="A902" s="6"/>
      <c r="B902" s="6"/>
      <c r="C902" s="6"/>
      <c r="D902" s="21"/>
      <c r="E902" s="22"/>
      <c r="F902" s="22"/>
      <c r="G902" s="22"/>
      <c r="H902" s="22"/>
    </row>
    <row r="903">
      <c r="A903" s="11"/>
      <c r="B903" s="11"/>
      <c r="C903" s="11"/>
      <c r="D903" s="24"/>
      <c r="E903" s="25"/>
      <c r="F903" s="25"/>
      <c r="G903" s="25"/>
      <c r="H903" s="25"/>
    </row>
    <row r="904">
      <c r="A904" s="6"/>
      <c r="B904" s="6"/>
      <c r="C904" s="6"/>
      <c r="D904" s="21"/>
      <c r="E904" s="22"/>
      <c r="F904" s="22"/>
      <c r="G904" s="22"/>
      <c r="H904" s="22"/>
    </row>
    <row r="905">
      <c r="A905" s="11"/>
      <c r="B905" s="11"/>
      <c r="C905" s="11"/>
      <c r="D905" s="24"/>
      <c r="E905" s="25"/>
      <c r="F905" s="25"/>
      <c r="G905" s="25"/>
      <c r="H905" s="25"/>
    </row>
    <row r="906">
      <c r="A906" s="6"/>
      <c r="B906" s="6"/>
      <c r="C906" s="6"/>
      <c r="D906" s="21"/>
      <c r="E906" s="22"/>
      <c r="F906" s="22"/>
      <c r="G906" s="22"/>
      <c r="H906" s="22"/>
    </row>
    <row r="907">
      <c r="A907" s="11"/>
      <c r="B907" s="11"/>
      <c r="C907" s="11"/>
      <c r="D907" s="24"/>
      <c r="E907" s="25"/>
      <c r="F907" s="25"/>
      <c r="G907" s="25"/>
      <c r="H907" s="25"/>
    </row>
    <row r="908">
      <c r="A908" s="6"/>
      <c r="B908" s="6"/>
      <c r="C908" s="6"/>
      <c r="D908" s="21"/>
      <c r="E908" s="22"/>
      <c r="F908" s="22"/>
      <c r="G908" s="22"/>
      <c r="H908" s="22"/>
    </row>
    <row r="909">
      <c r="A909" s="11"/>
      <c r="B909" s="11"/>
      <c r="C909" s="11"/>
      <c r="D909" s="24"/>
      <c r="E909" s="25"/>
      <c r="F909" s="25"/>
      <c r="G909" s="25"/>
      <c r="H909" s="25"/>
    </row>
    <row r="910">
      <c r="A910" s="6"/>
      <c r="B910" s="6"/>
      <c r="C910" s="6"/>
      <c r="D910" s="21"/>
      <c r="E910" s="22"/>
      <c r="F910" s="22"/>
      <c r="G910" s="22"/>
      <c r="H910" s="22"/>
    </row>
    <row r="911">
      <c r="A911" s="11"/>
      <c r="B911" s="11"/>
      <c r="C911" s="11"/>
      <c r="D911" s="24"/>
      <c r="E911" s="25"/>
      <c r="F911" s="25"/>
      <c r="G911" s="25"/>
      <c r="H911" s="25"/>
    </row>
    <row r="912">
      <c r="A912" s="6"/>
      <c r="B912" s="6"/>
      <c r="C912" s="6"/>
      <c r="D912" s="21"/>
      <c r="E912" s="22"/>
      <c r="F912" s="22"/>
      <c r="G912" s="22"/>
      <c r="H912" s="22"/>
    </row>
    <row r="913">
      <c r="A913" s="11"/>
      <c r="B913" s="11"/>
      <c r="C913" s="11"/>
      <c r="D913" s="24"/>
      <c r="E913" s="25"/>
      <c r="F913" s="25"/>
      <c r="G913" s="25"/>
      <c r="H913" s="25"/>
    </row>
    <row r="914">
      <c r="A914" s="6"/>
      <c r="B914" s="6"/>
      <c r="C914" s="6"/>
      <c r="D914" s="21"/>
      <c r="E914" s="22"/>
      <c r="F914" s="22"/>
      <c r="G914" s="22"/>
      <c r="H914" s="22"/>
    </row>
    <row r="915">
      <c r="A915" s="11"/>
      <c r="B915" s="11"/>
      <c r="C915" s="11"/>
      <c r="D915" s="24"/>
      <c r="E915" s="25"/>
      <c r="F915" s="25"/>
      <c r="G915" s="25"/>
      <c r="H915" s="25"/>
    </row>
    <row r="916">
      <c r="A916" s="6"/>
      <c r="B916" s="6"/>
      <c r="C916" s="6"/>
      <c r="D916" s="21"/>
      <c r="E916" s="22"/>
      <c r="F916" s="22"/>
      <c r="G916" s="22"/>
      <c r="H916" s="22"/>
    </row>
    <row r="917">
      <c r="A917" s="11"/>
      <c r="B917" s="11"/>
      <c r="C917" s="11"/>
      <c r="D917" s="24"/>
      <c r="E917" s="25"/>
      <c r="F917" s="25"/>
      <c r="G917" s="25"/>
      <c r="H917" s="25"/>
    </row>
    <row r="918">
      <c r="A918" s="6"/>
      <c r="B918" s="6"/>
      <c r="C918" s="6"/>
      <c r="D918" s="21"/>
      <c r="E918" s="22"/>
      <c r="F918" s="22"/>
      <c r="G918" s="22"/>
      <c r="H918" s="22"/>
    </row>
    <row r="919">
      <c r="A919" s="11"/>
      <c r="B919" s="11"/>
      <c r="C919" s="11"/>
      <c r="D919" s="24"/>
      <c r="E919" s="25"/>
      <c r="F919" s="25"/>
      <c r="G919" s="25"/>
      <c r="H919" s="25"/>
    </row>
    <row r="920">
      <c r="A920" s="6"/>
      <c r="B920" s="6"/>
      <c r="C920" s="6"/>
      <c r="D920" s="21"/>
      <c r="E920" s="22"/>
      <c r="F920" s="22"/>
      <c r="G920" s="22"/>
      <c r="H920" s="22"/>
    </row>
    <row r="921">
      <c r="A921" s="11"/>
      <c r="B921" s="11"/>
      <c r="C921" s="11"/>
      <c r="D921" s="24"/>
      <c r="E921" s="25"/>
      <c r="F921" s="25"/>
      <c r="G921" s="25"/>
      <c r="H921" s="25"/>
    </row>
    <row r="922">
      <c r="A922" s="6"/>
      <c r="B922" s="6"/>
      <c r="C922" s="6"/>
      <c r="D922" s="21"/>
      <c r="E922" s="22"/>
      <c r="F922" s="22"/>
      <c r="G922" s="22"/>
      <c r="H922" s="22"/>
    </row>
    <row r="923">
      <c r="A923" s="11"/>
      <c r="B923" s="11"/>
      <c r="C923" s="11"/>
      <c r="D923" s="24"/>
      <c r="E923" s="25"/>
      <c r="F923" s="25"/>
      <c r="G923" s="25"/>
      <c r="H923" s="25"/>
    </row>
    <row r="924">
      <c r="A924" s="6"/>
      <c r="B924" s="6"/>
      <c r="C924" s="6"/>
      <c r="D924" s="21"/>
      <c r="E924" s="22"/>
      <c r="F924" s="22"/>
      <c r="G924" s="22"/>
      <c r="H924" s="22"/>
    </row>
    <row r="925">
      <c r="A925" s="11"/>
      <c r="B925" s="11"/>
      <c r="C925" s="11"/>
      <c r="D925" s="24"/>
      <c r="E925" s="25"/>
      <c r="F925" s="25"/>
      <c r="G925" s="25"/>
      <c r="H925" s="25"/>
    </row>
    <row r="926">
      <c r="A926" s="6"/>
      <c r="B926" s="6"/>
      <c r="C926" s="6"/>
      <c r="D926" s="21"/>
      <c r="E926" s="22"/>
      <c r="F926" s="22"/>
      <c r="G926" s="22"/>
      <c r="H926" s="22"/>
    </row>
    <row r="927">
      <c r="A927" s="11"/>
      <c r="B927" s="11"/>
      <c r="C927" s="11"/>
      <c r="D927" s="24"/>
      <c r="E927" s="25"/>
      <c r="F927" s="25"/>
      <c r="G927" s="25"/>
      <c r="H927" s="25"/>
    </row>
    <row r="928">
      <c r="A928" s="6"/>
      <c r="B928" s="6"/>
      <c r="C928" s="6"/>
      <c r="D928" s="21"/>
      <c r="E928" s="22"/>
      <c r="F928" s="22"/>
      <c r="G928" s="22"/>
      <c r="H928" s="22"/>
    </row>
    <row r="929">
      <c r="A929" s="11"/>
      <c r="B929" s="11"/>
      <c r="C929" s="11"/>
      <c r="D929" s="24"/>
      <c r="E929" s="25"/>
      <c r="F929" s="25"/>
      <c r="G929" s="25"/>
      <c r="H929" s="25"/>
    </row>
    <row r="930">
      <c r="A930" s="6"/>
      <c r="B930" s="6"/>
      <c r="C930" s="6"/>
      <c r="D930" s="21"/>
      <c r="E930" s="22"/>
      <c r="F930" s="22"/>
      <c r="G930" s="22"/>
      <c r="H930" s="22"/>
    </row>
    <row r="931">
      <c r="A931" s="11"/>
      <c r="B931" s="11"/>
      <c r="C931" s="11"/>
      <c r="D931" s="24"/>
      <c r="E931" s="25"/>
      <c r="F931" s="25"/>
      <c r="G931" s="25"/>
      <c r="H931" s="25"/>
    </row>
    <row r="932">
      <c r="A932" s="6"/>
      <c r="B932" s="6"/>
      <c r="C932" s="6"/>
      <c r="D932" s="21"/>
      <c r="E932" s="22"/>
      <c r="F932" s="22"/>
      <c r="G932" s="22"/>
      <c r="H932" s="22"/>
    </row>
    <row r="933">
      <c r="A933" s="11"/>
      <c r="B933" s="11"/>
      <c r="C933" s="11"/>
      <c r="D933" s="24"/>
      <c r="E933" s="25"/>
      <c r="F933" s="25"/>
      <c r="G933" s="25"/>
      <c r="H933" s="25"/>
    </row>
    <row r="934">
      <c r="A934" s="6"/>
      <c r="B934" s="6"/>
      <c r="C934" s="6"/>
      <c r="D934" s="21"/>
      <c r="E934" s="22"/>
      <c r="F934" s="22"/>
      <c r="G934" s="22"/>
      <c r="H934" s="22"/>
    </row>
    <row r="935">
      <c r="A935" s="11"/>
      <c r="B935" s="11"/>
      <c r="C935" s="11"/>
      <c r="D935" s="24"/>
      <c r="E935" s="25"/>
      <c r="F935" s="25"/>
      <c r="G935" s="25"/>
      <c r="H935" s="25"/>
    </row>
    <row r="936">
      <c r="A936" s="6"/>
      <c r="B936" s="6"/>
      <c r="C936" s="6"/>
      <c r="D936" s="21"/>
      <c r="E936" s="22"/>
      <c r="F936" s="22"/>
      <c r="G936" s="22"/>
      <c r="H936" s="22"/>
    </row>
    <row r="937">
      <c r="A937" s="11"/>
      <c r="B937" s="11"/>
      <c r="C937" s="11"/>
      <c r="D937" s="24"/>
      <c r="E937" s="25"/>
      <c r="F937" s="25"/>
      <c r="G937" s="25"/>
      <c r="H937" s="25"/>
    </row>
    <row r="938">
      <c r="A938" s="6"/>
      <c r="B938" s="6"/>
      <c r="C938" s="6"/>
      <c r="D938" s="21"/>
      <c r="E938" s="22"/>
      <c r="F938" s="22"/>
      <c r="G938" s="22"/>
      <c r="H938" s="22"/>
    </row>
    <row r="939">
      <c r="A939" s="11"/>
      <c r="B939" s="11"/>
      <c r="C939" s="11"/>
      <c r="D939" s="24"/>
      <c r="E939" s="25"/>
      <c r="F939" s="25"/>
      <c r="G939" s="25"/>
      <c r="H939" s="25"/>
    </row>
    <row r="940">
      <c r="A940" s="6"/>
      <c r="B940" s="6"/>
      <c r="C940" s="6"/>
      <c r="D940" s="21"/>
      <c r="E940" s="22"/>
      <c r="F940" s="22"/>
      <c r="G940" s="22"/>
      <c r="H940" s="22"/>
    </row>
    <row r="941">
      <c r="A941" s="11"/>
      <c r="B941" s="11"/>
      <c r="C941" s="11"/>
      <c r="D941" s="24"/>
      <c r="E941" s="25"/>
      <c r="F941" s="25"/>
      <c r="G941" s="25"/>
      <c r="H941" s="25"/>
    </row>
    <row r="942">
      <c r="A942" s="6"/>
      <c r="B942" s="6"/>
      <c r="C942" s="6"/>
      <c r="D942" s="21"/>
      <c r="E942" s="22"/>
      <c r="F942" s="22"/>
      <c r="G942" s="22"/>
      <c r="H942" s="22"/>
    </row>
    <row r="943">
      <c r="A943" s="11"/>
      <c r="B943" s="11"/>
      <c r="C943" s="11"/>
      <c r="D943" s="24"/>
      <c r="E943" s="25"/>
      <c r="F943" s="25"/>
      <c r="G943" s="25"/>
      <c r="H943" s="25"/>
    </row>
    <row r="944">
      <c r="A944" s="6"/>
      <c r="B944" s="6"/>
      <c r="C944" s="6"/>
      <c r="D944" s="21"/>
      <c r="E944" s="22"/>
      <c r="F944" s="22"/>
      <c r="G944" s="22"/>
      <c r="H944" s="22"/>
    </row>
    <row r="945">
      <c r="A945" s="11"/>
      <c r="B945" s="11"/>
      <c r="C945" s="11"/>
      <c r="D945" s="24"/>
      <c r="E945" s="25"/>
      <c r="F945" s="25"/>
      <c r="G945" s="25"/>
      <c r="H945" s="25"/>
    </row>
    <row r="946">
      <c r="A946" s="6"/>
      <c r="B946" s="6"/>
      <c r="C946" s="6"/>
      <c r="D946" s="21"/>
      <c r="E946" s="22"/>
      <c r="F946" s="22"/>
      <c r="G946" s="22"/>
      <c r="H946" s="22"/>
    </row>
    <row r="947">
      <c r="A947" s="11"/>
      <c r="B947" s="11"/>
      <c r="C947" s="11"/>
      <c r="D947" s="24"/>
      <c r="E947" s="25"/>
      <c r="F947" s="25"/>
      <c r="G947" s="25"/>
      <c r="H947" s="25"/>
    </row>
    <row r="948">
      <c r="A948" s="6"/>
      <c r="B948" s="6"/>
      <c r="C948" s="6"/>
      <c r="D948" s="21"/>
      <c r="E948" s="22"/>
      <c r="F948" s="22"/>
      <c r="G948" s="22"/>
      <c r="H948" s="22"/>
    </row>
    <row r="949">
      <c r="A949" s="11"/>
      <c r="B949" s="11"/>
      <c r="C949" s="11"/>
      <c r="D949" s="24"/>
      <c r="E949" s="25"/>
      <c r="F949" s="25"/>
      <c r="G949" s="25"/>
      <c r="H949" s="25"/>
    </row>
    <row r="950">
      <c r="A950" s="6"/>
      <c r="B950" s="6"/>
      <c r="C950" s="6"/>
      <c r="D950" s="21"/>
      <c r="E950" s="22"/>
      <c r="F950" s="22"/>
      <c r="G950" s="22"/>
      <c r="H950" s="22"/>
    </row>
    <row r="951">
      <c r="A951" s="11"/>
      <c r="B951" s="11"/>
      <c r="C951" s="11"/>
      <c r="D951" s="24"/>
      <c r="E951" s="25"/>
      <c r="F951" s="25"/>
      <c r="G951" s="25"/>
      <c r="H951" s="25"/>
    </row>
    <row r="952">
      <c r="A952" s="6"/>
      <c r="B952" s="6"/>
      <c r="C952" s="6"/>
      <c r="D952" s="21"/>
      <c r="E952" s="22"/>
      <c r="F952" s="22"/>
      <c r="G952" s="22"/>
      <c r="H952" s="22"/>
    </row>
    <row r="953">
      <c r="A953" s="11"/>
      <c r="B953" s="11"/>
      <c r="C953" s="11"/>
      <c r="D953" s="24"/>
      <c r="E953" s="25"/>
      <c r="F953" s="25"/>
      <c r="G953" s="25"/>
      <c r="H953" s="25"/>
    </row>
    <row r="954">
      <c r="A954" s="6"/>
      <c r="B954" s="6"/>
      <c r="C954" s="6"/>
      <c r="D954" s="21"/>
      <c r="E954" s="22"/>
      <c r="F954" s="22"/>
      <c r="G954" s="22"/>
      <c r="H954" s="22"/>
    </row>
    <row r="955">
      <c r="A955" s="11"/>
      <c r="B955" s="11"/>
      <c r="C955" s="11"/>
      <c r="D955" s="24"/>
      <c r="E955" s="25"/>
      <c r="F955" s="25"/>
      <c r="G955" s="25"/>
      <c r="H955" s="25"/>
    </row>
    <row r="956">
      <c r="A956" s="6"/>
      <c r="B956" s="6"/>
      <c r="C956" s="6"/>
      <c r="D956" s="21"/>
      <c r="E956" s="22"/>
      <c r="F956" s="22"/>
      <c r="G956" s="22"/>
      <c r="H956" s="22"/>
    </row>
    <row r="957">
      <c r="A957" s="11"/>
      <c r="B957" s="11"/>
      <c r="C957" s="11"/>
      <c r="D957" s="24"/>
      <c r="E957" s="25"/>
      <c r="F957" s="25"/>
      <c r="G957" s="25"/>
      <c r="H957" s="25"/>
    </row>
    <row r="958">
      <c r="A958" s="6"/>
      <c r="B958" s="6"/>
      <c r="C958" s="6"/>
      <c r="D958" s="21"/>
      <c r="E958" s="22"/>
      <c r="F958" s="22"/>
      <c r="G958" s="22"/>
      <c r="H958" s="22"/>
    </row>
    <row r="959">
      <c r="A959" s="11"/>
      <c r="B959" s="11"/>
      <c r="C959" s="11"/>
      <c r="D959" s="24"/>
      <c r="E959" s="25"/>
      <c r="F959" s="25"/>
      <c r="G959" s="25"/>
      <c r="H959" s="25"/>
    </row>
    <row r="960">
      <c r="A960" s="6"/>
      <c r="B960" s="6"/>
      <c r="C960" s="6"/>
      <c r="D960" s="21"/>
      <c r="E960" s="22"/>
      <c r="F960" s="22"/>
      <c r="G960" s="22"/>
      <c r="H960" s="22"/>
    </row>
    <row r="961">
      <c r="A961" s="11"/>
      <c r="B961" s="11"/>
      <c r="C961" s="11"/>
      <c r="D961" s="24"/>
      <c r="E961" s="25"/>
      <c r="F961" s="25"/>
      <c r="G961" s="25"/>
      <c r="H961" s="25"/>
    </row>
    <row r="962">
      <c r="A962" s="6"/>
      <c r="B962" s="6"/>
      <c r="C962" s="6"/>
      <c r="D962" s="21"/>
      <c r="E962" s="22"/>
      <c r="F962" s="22"/>
      <c r="G962" s="22"/>
      <c r="H962" s="22"/>
    </row>
    <row r="963">
      <c r="A963" s="11"/>
      <c r="B963" s="11"/>
      <c r="C963" s="11"/>
      <c r="D963" s="24"/>
      <c r="E963" s="25"/>
      <c r="F963" s="25"/>
      <c r="G963" s="25"/>
      <c r="H963" s="25"/>
    </row>
    <row r="964">
      <c r="A964" s="6"/>
      <c r="B964" s="6"/>
      <c r="C964" s="6"/>
      <c r="D964" s="21"/>
      <c r="E964" s="22"/>
      <c r="F964" s="22"/>
      <c r="G964" s="22"/>
      <c r="H964" s="22"/>
    </row>
    <row r="965">
      <c r="A965" s="11"/>
      <c r="B965" s="11"/>
      <c r="C965" s="11"/>
      <c r="D965" s="24"/>
      <c r="E965" s="25"/>
      <c r="F965" s="25"/>
      <c r="G965" s="25"/>
      <c r="H965" s="25"/>
    </row>
    <row r="966">
      <c r="A966" s="6"/>
      <c r="B966" s="6"/>
      <c r="C966" s="6"/>
      <c r="D966" s="21"/>
      <c r="E966" s="22"/>
      <c r="F966" s="22"/>
      <c r="G966" s="22"/>
      <c r="H966" s="22"/>
    </row>
    <row r="967">
      <c r="A967" s="11"/>
      <c r="B967" s="11"/>
      <c r="C967" s="11"/>
      <c r="D967" s="24"/>
      <c r="E967" s="25"/>
      <c r="F967" s="25"/>
      <c r="G967" s="25"/>
      <c r="H967" s="25"/>
    </row>
    <row r="968">
      <c r="A968" s="6"/>
      <c r="B968" s="6"/>
      <c r="C968" s="6"/>
      <c r="D968" s="21"/>
      <c r="E968" s="22"/>
      <c r="F968" s="22"/>
      <c r="G968" s="22"/>
      <c r="H968" s="22"/>
    </row>
    <row r="969">
      <c r="A969" s="11"/>
      <c r="B969" s="11"/>
      <c r="C969" s="11"/>
      <c r="D969" s="24"/>
      <c r="E969" s="25"/>
      <c r="F969" s="25"/>
      <c r="G969" s="25"/>
      <c r="H969" s="25"/>
    </row>
    <row r="970">
      <c r="A970" s="6"/>
      <c r="B970" s="6"/>
      <c r="C970" s="6"/>
      <c r="D970" s="21"/>
      <c r="E970" s="22"/>
      <c r="F970" s="22"/>
      <c r="G970" s="22"/>
      <c r="H970" s="22"/>
    </row>
    <row r="971">
      <c r="A971" s="11"/>
      <c r="B971" s="11"/>
      <c r="C971" s="11"/>
      <c r="D971" s="24"/>
      <c r="E971" s="25"/>
      <c r="F971" s="25"/>
      <c r="G971" s="25"/>
      <c r="H971" s="25"/>
    </row>
    <row r="972">
      <c r="A972" s="6"/>
      <c r="B972" s="6"/>
      <c r="C972" s="6"/>
      <c r="D972" s="21"/>
      <c r="E972" s="22"/>
      <c r="F972" s="22"/>
      <c r="G972" s="22"/>
      <c r="H972" s="22"/>
    </row>
    <row r="973">
      <c r="A973" s="11"/>
      <c r="B973" s="11"/>
      <c r="C973" s="11"/>
      <c r="D973" s="24"/>
      <c r="E973" s="25"/>
      <c r="F973" s="25"/>
      <c r="G973" s="25"/>
      <c r="H973" s="25"/>
    </row>
    <row r="974">
      <c r="A974" s="6"/>
      <c r="B974" s="6"/>
      <c r="C974" s="6"/>
      <c r="D974" s="21"/>
      <c r="E974" s="22"/>
      <c r="F974" s="22"/>
      <c r="G974" s="22"/>
      <c r="H974" s="22"/>
    </row>
    <row r="975">
      <c r="A975" s="11"/>
      <c r="B975" s="11"/>
      <c r="C975" s="11"/>
      <c r="D975" s="24"/>
      <c r="E975" s="25"/>
      <c r="F975" s="25"/>
      <c r="G975" s="25"/>
      <c r="H975" s="25"/>
    </row>
    <row r="976">
      <c r="A976" s="6"/>
      <c r="B976" s="6"/>
      <c r="C976" s="6"/>
      <c r="D976" s="21"/>
      <c r="E976" s="22"/>
      <c r="F976" s="22"/>
      <c r="G976" s="22"/>
      <c r="H976" s="22"/>
    </row>
    <row r="977">
      <c r="A977" s="11"/>
      <c r="B977" s="11"/>
      <c r="C977" s="11"/>
      <c r="D977" s="24"/>
      <c r="E977" s="25"/>
      <c r="F977" s="25"/>
      <c r="G977" s="25"/>
      <c r="H977" s="25"/>
    </row>
    <row r="978">
      <c r="A978" s="6"/>
      <c r="B978" s="6"/>
      <c r="C978" s="6"/>
      <c r="D978" s="21"/>
      <c r="E978" s="22"/>
      <c r="F978" s="22"/>
      <c r="G978" s="22"/>
      <c r="H978" s="22"/>
    </row>
    <row r="979">
      <c r="A979" s="11"/>
      <c r="B979" s="11"/>
      <c r="C979" s="11"/>
      <c r="D979" s="24"/>
      <c r="E979" s="25"/>
      <c r="F979" s="25"/>
      <c r="G979" s="25"/>
      <c r="H979" s="25"/>
    </row>
    <row r="980">
      <c r="A980" s="6"/>
      <c r="B980" s="6"/>
      <c r="C980" s="6"/>
      <c r="D980" s="21"/>
      <c r="E980" s="22"/>
      <c r="F980" s="22"/>
      <c r="G980" s="22"/>
      <c r="H980" s="22"/>
    </row>
    <row r="981">
      <c r="A981" s="11"/>
      <c r="B981" s="11"/>
      <c r="C981" s="11"/>
      <c r="D981" s="24"/>
      <c r="E981" s="25"/>
      <c r="F981" s="25"/>
      <c r="G981" s="25"/>
      <c r="H981" s="25"/>
    </row>
    <row r="982">
      <c r="A982" s="6"/>
      <c r="B982" s="6"/>
      <c r="C982" s="6"/>
      <c r="D982" s="21"/>
      <c r="E982" s="22"/>
      <c r="F982" s="22"/>
      <c r="G982" s="22"/>
      <c r="H982" s="22"/>
    </row>
    <row r="983">
      <c r="A983" s="11"/>
      <c r="B983" s="11"/>
      <c r="C983" s="11"/>
      <c r="D983" s="24"/>
      <c r="E983" s="25"/>
      <c r="F983" s="25"/>
      <c r="G983" s="25"/>
      <c r="H983" s="25"/>
    </row>
    <row r="984">
      <c r="A984" s="6"/>
      <c r="B984" s="6"/>
      <c r="C984" s="6"/>
      <c r="D984" s="21"/>
      <c r="E984" s="22"/>
      <c r="F984" s="22"/>
      <c r="G984" s="22"/>
      <c r="H984" s="22"/>
    </row>
    <row r="985">
      <c r="A985" s="11"/>
      <c r="B985" s="11"/>
      <c r="C985" s="11"/>
      <c r="D985" s="24"/>
      <c r="E985" s="25"/>
      <c r="F985" s="25"/>
      <c r="G985" s="25"/>
      <c r="H985" s="25"/>
    </row>
    <row r="986">
      <c r="A986" s="6"/>
      <c r="B986" s="6"/>
      <c r="C986" s="6"/>
      <c r="D986" s="21"/>
      <c r="E986" s="22"/>
      <c r="F986" s="22"/>
      <c r="G986" s="22"/>
      <c r="H986" s="22"/>
    </row>
    <row r="987">
      <c r="A987" s="11"/>
      <c r="B987" s="11"/>
      <c r="C987" s="11"/>
      <c r="D987" s="24"/>
      <c r="E987" s="25"/>
      <c r="F987" s="25"/>
      <c r="G987" s="25"/>
      <c r="H987" s="25"/>
    </row>
    <row r="988">
      <c r="A988" s="6"/>
      <c r="B988" s="6"/>
      <c r="C988" s="6"/>
      <c r="D988" s="21"/>
      <c r="E988" s="22"/>
      <c r="F988" s="22"/>
      <c r="G988" s="22"/>
      <c r="H988" s="22"/>
    </row>
    <row r="989">
      <c r="A989" s="11"/>
      <c r="B989" s="11"/>
      <c r="C989" s="11"/>
      <c r="D989" s="24"/>
      <c r="E989" s="25"/>
      <c r="F989" s="25"/>
      <c r="G989" s="25"/>
      <c r="H989" s="25"/>
    </row>
    <row r="990">
      <c r="A990" s="6"/>
      <c r="B990" s="6"/>
      <c r="C990" s="6"/>
      <c r="D990" s="21"/>
      <c r="E990" s="22"/>
      <c r="F990" s="22"/>
      <c r="G990" s="22"/>
      <c r="H990" s="22"/>
    </row>
    <row r="991">
      <c r="A991" s="11"/>
      <c r="B991" s="11"/>
      <c r="C991" s="11"/>
      <c r="D991" s="24"/>
      <c r="E991" s="25"/>
      <c r="F991" s="25"/>
      <c r="G991" s="25"/>
      <c r="H991" s="25"/>
    </row>
    <row r="992">
      <c r="A992" s="6"/>
      <c r="B992" s="6"/>
      <c r="C992" s="6"/>
      <c r="D992" s="21"/>
      <c r="E992" s="22"/>
      <c r="F992" s="22"/>
      <c r="G992" s="22"/>
      <c r="H992" s="22"/>
    </row>
    <row r="993">
      <c r="A993" s="11"/>
      <c r="B993" s="11"/>
      <c r="C993" s="11"/>
      <c r="D993" s="24"/>
      <c r="E993" s="25"/>
      <c r="F993" s="25"/>
      <c r="G993" s="25"/>
      <c r="H993" s="25"/>
    </row>
    <row r="994">
      <c r="A994" s="6"/>
      <c r="B994" s="6"/>
      <c r="C994" s="6"/>
      <c r="D994" s="21"/>
      <c r="E994" s="22"/>
      <c r="F994" s="22"/>
      <c r="G994" s="22"/>
      <c r="H994" s="22"/>
    </row>
    <row r="995">
      <c r="A995" s="11"/>
      <c r="B995" s="11"/>
      <c r="C995" s="11"/>
      <c r="D995" s="24"/>
      <c r="E995" s="25"/>
      <c r="F995" s="25"/>
      <c r="G995" s="25"/>
      <c r="H995" s="25"/>
    </row>
    <row r="996">
      <c r="A996" s="6"/>
      <c r="B996" s="6"/>
      <c r="C996" s="6"/>
      <c r="D996" s="21"/>
      <c r="E996" s="22"/>
      <c r="F996" s="22"/>
      <c r="G996" s="22"/>
      <c r="H996" s="22"/>
    </row>
    <row r="997">
      <c r="A997" s="11"/>
      <c r="B997" s="11"/>
      <c r="C997" s="11"/>
      <c r="D997" s="24"/>
      <c r="E997" s="25"/>
      <c r="F997" s="25"/>
      <c r="G997" s="25"/>
      <c r="H997" s="25"/>
    </row>
    <row r="998">
      <c r="A998" s="6"/>
      <c r="B998" s="6"/>
      <c r="C998" s="6"/>
      <c r="D998" s="21"/>
      <c r="E998" s="22"/>
      <c r="F998" s="22"/>
      <c r="G998" s="22"/>
      <c r="H998" s="22"/>
    </row>
    <row r="999">
      <c r="A999" s="11"/>
      <c r="B999" s="11"/>
      <c r="C999" s="11"/>
      <c r="D999" s="24"/>
      <c r="E999" s="25"/>
      <c r="F999" s="25"/>
      <c r="G999" s="25"/>
      <c r="H999" s="25"/>
    </row>
    <row r="1000">
      <c r="A1000" s="6"/>
      <c r="B1000" s="6"/>
      <c r="C1000" s="6"/>
      <c r="D1000" s="21"/>
      <c r="E1000" s="22"/>
      <c r="F1000" s="22"/>
      <c r="G1000" s="22"/>
      <c r="H1000" s="22"/>
    </row>
    <row r="1001">
      <c r="A1001" s="11"/>
      <c r="B1001" s="11"/>
      <c r="C1001" s="11"/>
      <c r="D1001" s="24"/>
      <c r="E1001" s="25"/>
      <c r="F1001" s="25"/>
      <c r="G1001" s="25"/>
      <c r="H1001" s="25"/>
    </row>
  </sheetData>
  <autoFilter ref="$A$1:$H$1001"/>
  <conditionalFormatting sqref="E1:F1001">
    <cfRule type="containsText" dxfId="1" priority="1" operator="containsText" text="NOK">
      <formula>NOT(ISERROR(SEARCH(("NOK"),(E1))))</formula>
    </cfRule>
  </conditionalFormatting>
  <conditionalFormatting sqref="E1:F1001">
    <cfRule type="cellIs" dxfId="2" priority="2" operator="equal">
      <formula>"OK"</formula>
    </cfRule>
  </conditionalFormatting>
  <dataValidations>
    <dataValidation type="list" allowBlank="1" showErrorMessage="1" sqref="B235:B1001">
      <formula1>"David,Gema,Enric"</formula1>
    </dataValidation>
    <dataValidation type="list" allowBlank="1" showErrorMessage="1" sqref="A2:A1001">
      <formula1>"630 849 333,673 304 063,647 760 222"</formula1>
    </dataValidation>
    <dataValidation type="list" allowBlank="1" showErrorMessage="1" sqref="C2:C1001">
      <formula1>"Incidencia,Consulta"</formula1>
    </dataValidation>
    <dataValidation type="list" allowBlank="1" showErrorMessage="1" sqref="G2:G25 G27:G32">
      <formula1>"Bien,Mejorable,Mal"</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30.0"/>
    <col customWidth="1" min="3" max="3" width="23.63"/>
    <col customWidth="1" min="4" max="4" width="85.0"/>
    <col customWidth="1" min="5" max="6" width="40.25"/>
    <col customWidth="1" min="7" max="7" width="37.13"/>
    <col customWidth="1" min="8" max="8" width="107.75"/>
  </cols>
  <sheetData>
    <row r="1">
      <c r="A1" s="1" t="s">
        <v>0</v>
      </c>
      <c r="B1" s="1" t="s">
        <v>108</v>
      </c>
      <c r="C1" s="2" t="s">
        <v>2</v>
      </c>
      <c r="D1" s="2" t="s">
        <v>109</v>
      </c>
      <c r="E1" s="1" t="s">
        <v>110</v>
      </c>
      <c r="F1" s="1" t="s">
        <v>111</v>
      </c>
      <c r="G1" s="1" t="s">
        <v>112</v>
      </c>
      <c r="H1" s="1" t="s">
        <v>113</v>
      </c>
      <c r="I1" s="5"/>
      <c r="J1" s="5"/>
      <c r="K1" s="5"/>
      <c r="L1" s="5"/>
      <c r="M1" s="5"/>
      <c r="N1" s="5"/>
      <c r="O1" s="5"/>
      <c r="P1" s="5"/>
      <c r="Q1" s="5"/>
      <c r="R1" s="5"/>
      <c r="S1" s="5"/>
      <c r="T1" s="5"/>
      <c r="U1" s="5"/>
      <c r="V1" s="5"/>
      <c r="W1" s="5"/>
      <c r="X1" s="5"/>
      <c r="Y1" s="5"/>
      <c r="Z1" s="5"/>
    </row>
    <row r="2">
      <c r="A2" s="6">
        <v>3.461816641E10</v>
      </c>
      <c r="B2" s="6" t="s">
        <v>201</v>
      </c>
      <c r="C2" s="6" t="s">
        <v>30</v>
      </c>
      <c r="D2" s="7" t="s">
        <v>202</v>
      </c>
      <c r="E2" s="27" t="s">
        <v>116</v>
      </c>
      <c r="F2" s="27" t="s">
        <v>116</v>
      </c>
      <c r="G2" s="27" t="s">
        <v>124</v>
      </c>
      <c r="H2" s="7"/>
    </row>
    <row r="3">
      <c r="A3" s="11">
        <v>3.4659579815E10</v>
      </c>
      <c r="B3" s="11" t="s">
        <v>203</v>
      </c>
      <c r="C3" s="11" t="s">
        <v>30</v>
      </c>
      <c r="D3" s="12" t="s">
        <v>204</v>
      </c>
      <c r="E3" s="28" t="s">
        <v>116</v>
      </c>
      <c r="F3" s="28" t="s">
        <v>116</v>
      </c>
      <c r="G3" s="28" t="s">
        <v>124</v>
      </c>
      <c r="H3" s="12"/>
    </row>
    <row r="4">
      <c r="A4" s="6">
        <v>3.93925759088E11</v>
      </c>
      <c r="B4" s="6" t="s">
        <v>205</v>
      </c>
      <c r="C4" s="6" t="s">
        <v>30</v>
      </c>
      <c r="D4" s="7" t="s">
        <v>206</v>
      </c>
      <c r="E4" s="27" t="s">
        <v>116</v>
      </c>
      <c r="F4" s="27" t="s">
        <v>116</v>
      </c>
      <c r="G4" s="27" t="s">
        <v>117</v>
      </c>
      <c r="H4" s="7" t="s">
        <v>207</v>
      </c>
    </row>
    <row r="5">
      <c r="A5" s="11">
        <v>3.4615015885E10</v>
      </c>
      <c r="B5" s="11" t="s">
        <v>208</v>
      </c>
      <c r="C5" s="11" t="s">
        <v>10</v>
      </c>
      <c r="D5" s="12" t="s">
        <v>209</v>
      </c>
      <c r="E5" s="28" t="s">
        <v>116</v>
      </c>
      <c r="F5" s="28" t="s">
        <v>116</v>
      </c>
      <c r="G5" s="28" t="s">
        <v>159</v>
      </c>
      <c r="H5" s="12" t="s">
        <v>210</v>
      </c>
    </row>
    <row r="6">
      <c r="A6" s="6">
        <v>3.93925759088E11</v>
      </c>
      <c r="B6" s="6" t="s">
        <v>211</v>
      </c>
      <c r="C6" s="6" t="s">
        <v>30</v>
      </c>
      <c r="D6" s="7" t="s">
        <v>212</v>
      </c>
      <c r="E6" s="27" t="s">
        <v>116</v>
      </c>
      <c r="F6" s="27" t="s">
        <v>116</v>
      </c>
      <c r="G6" s="27" t="s">
        <v>124</v>
      </c>
      <c r="H6" s="7"/>
    </row>
    <row r="7">
      <c r="A7" s="11">
        <v>5.73105376491E11</v>
      </c>
      <c r="B7" s="11" t="s">
        <v>213</v>
      </c>
      <c r="C7" s="11" t="s">
        <v>10</v>
      </c>
      <c r="D7" s="12" t="s">
        <v>214</v>
      </c>
      <c r="E7" s="28" t="s">
        <v>130</v>
      </c>
      <c r="F7" s="28" t="s">
        <v>130</v>
      </c>
      <c r="G7" s="28" t="s">
        <v>124</v>
      </c>
      <c r="H7" s="12"/>
    </row>
    <row r="8">
      <c r="A8" s="6">
        <v>3.4698255517E10</v>
      </c>
      <c r="B8" s="6" t="s">
        <v>215</v>
      </c>
      <c r="C8" s="6" t="s">
        <v>10</v>
      </c>
      <c r="D8" s="7" t="s">
        <v>216</v>
      </c>
      <c r="E8" s="27" t="s">
        <v>116</v>
      </c>
      <c r="F8" s="27" t="s">
        <v>116</v>
      </c>
      <c r="G8" s="27" t="s">
        <v>124</v>
      </c>
      <c r="H8" s="7"/>
    </row>
    <row r="9">
      <c r="A9" s="11">
        <v>3.4633539508E10</v>
      </c>
      <c r="B9" s="11" t="s">
        <v>217</v>
      </c>
      <c r="C9" s="11" t="s">
        <v>30</v>
      </c>
      <c r="D9" s="12" t="s">
        <v>218</v>
      </c>
      <c r="E9" s="28" t="s">
        <v>130</v>
      </c>
      <c r="F9" s="28" t="s">
        <v>116</v>
      </c>
      <c r="G9" s="28" t="s">
        <v>124</v>
      </c>
      <c r="H9" s="12"/>
    </row>
    <row r="10">
      <c r="A10" s="6">
        <v>3.463757405E10</v>
      </c>
      <c r="B10" s="6" t="s">
        <v>219</v>
      </c>
      <c r="C10" s="6" t="s">
        <v>30</v>
      </c>
      <c r="D10" s="7" t="s">
        <v>220</v>
      </c>
      <c r="E10" s="27" t="s">
        <v>130</v>
      </c>
      <c r="F10" s="27" t="s">
        <v>116</v>
      </c>
      <c r="G10" s="27" t="s">
        <v>117</v>
      </c>
      <c r="H10" s="7" t="s">
        <v>221</v>
      </c>
    </row>
    <row r="11">
      <c r="A11" s="11">
        <v>3.4663370363E10</v>
      </c>
      <c r="B11" s="11" t="s">
        <v>222</v>
      </c>
      <c r="C11" s="11" t="s">
        <v>10</v>
      </c>
      <c r="D11" s="12" t="s">
        <v>223</v>
      </c>
      <c r="E11" s="28" t="s">
        <v>116</v>
      </c>
      <c r="F11" s="28" t="s">
        <v>116</v>
      </c>
      <c r="G11" s="28" t="s">
        <v>124</v>
      </c>
      <c r="H11" s="12"/>
    </row>
    <row r="12">
      <c r="A12" s="6">
        <v>3.4669663814E10</v>
      </c>
      <c r="B12" s="6" t="s">
        <v>224</v>
      </c>
      <c r="C12" s="6" t="s">
        <v>30</v>
      </c>
      <c r="D12" s="7" t="s">
        <v>225</v>
      </c>
      <c r="E12" s="27" t="s">
        <v>116</v>
      </c>
      <c r="F12" s="27" t="s">
        <v>116</v>
      </c>
      <c r="G12" s="27" t="s">
        <v>124</v>
      </c>
      <c r="H12" s="7"/>
    </row>
    <row r="13">
      <c r="A13" s="11">
        <v>3.4696188406E10</v>
      </c>
      <c r="B13" s="11" t="s">
        <v>226</v>
      </c>
      <c r="C13" s="11" t="s">
        <v>10</v>
      </c>
      <c r="D13" s="12" t="s">
        <v>227</v>
      </c>
      <c r="E13" s="28" t="s">
        <v>130</v>
      </c>
      <c r="F13" s="28" t="s">
        <v>130</v>
      </c>
      <c r="G13" s="28" t="s">
        <v>124</v>
      </c>
      <c r="H13" s="12"/>
    </row>
    <row r="14">
      <c r="A14" s="6">
        <v>3.4652524834E10</v>
      </c>
      <c r="B14" s="6" t="s">
        <v>228</v>
      </c>
      <c r="C14" s="6" t="s">
        <v>10</v>
      </c>
      <c r="D14" s="7" t="s">
        <v>229</v>
      </c>
      <c r="E14" s="27" t="s">
        <v>130</v>
      </c>
      <c r="F14" s="27" t="s">
        <v>130</v>
      </c>
      <c r="G14" s="27" t="s">
        <v>117</v>
      </c>
      <c r="H14" s="7" t="s">
        <v>230</v>
      </c>
    </row>
    <row r="15">
      <c r="A15" s="11">
        <v>5.7300237902E11</v>
      </c>
      <c r="B15" s="11" t="s">
        <v>231</v>
      </c>
      <c r="C15" s="11" t="s">
        <v>30</v>
      </c>
      <c r="D15" s="12" t="s">
        <v>232</v>
      </c>
      <c r="E15" s="28" t="s">
        <v>130</v>
      </c>
      <c r="F15" s="28" t="s">
        <v>130</v>
      </c>
      <c r="G15" s="28" t="s">
        <v>124</v>
      </c>
      <c r="H15" s="12"/>
    </row>
    <row r="16">
      <c r="A16" s="6">
        <v>3.4640065374E10</v>
      </c>
      <c r="B16" s="6" t="s">
        <v>233</v>
      </c>
      <c r="C16" s="6" t="s">
        <v>30</v>
      </c>
      <c r="D16" s="7" t="s">
        <v>234</v>
      </c>
      <c r="E16" s="27" t="s">
        <v>130</v>
      </c>
      <c r="F16" s="27" t="s">
        <v>130</v>
      </c>
      <c r="G16" s="27" t="s">
        <v>124</v>
      </c>
      <c r="H16" s="7"/>
    </row>
    <row r="17">
      <c r="A17" s="11">
        <v>3.4626696661E10</v>
      </c>
      <c r="B17" s="11" t="s">
        <v>235</v>
      </c>
      <c r="C17" s="11" t="s">
        <v>30</v>
      </c>
      <c r="D17" s="12" t="s">
        <v>236</v>
      </c>
      <c r="E17" s="28" t="s">
        <v>116</v>
      </c>
      <c r="F17" s="28" t="s">
        <v>116</v>
      </c>
      <c r="G17" s="28" t="s">
        <v>159</v>
      </c>
      <c r="H17" s="29" t="s">
        <v>237</v>
      </c>
    </row>
    <row r="18">
      <c r="A18" s="6">
        <v>3.4607789219E10</v>
      </c>
      <c r="B18" s="6" t="s">
        <v>238</v>
      </c>
      <c r="C18" s="6" t="s">
        <v>10</v>
      </c>
      <c r="D18" s="17" t="s">
        <v>239</v>
      </c>
      <c r="E18" s="27" t="s">
        <v>130</v>
      </c>
      <c r="F18" s="27" t="s">
        <v>130</v>
      </c>
      <c r="G18" s="27" t="s">
        <v>117</v>
      </c>
      <c r="H18" s="17" t="s">
        <v>240</v>
      </c>
      <c r="I18" s="20"/>
      <c r="J18" s="20"/>
      <c r="K18" s="20"/>
      <c r="L18" s="20"/>
      <c r="M18" s="20"/>
      <c r="N18" s="20"/>
      <c r="O18" s="20"/>
      <c r="P18" s="20"/>
      <c r="Q18" s="20"/>
      <c r="R18" s="20"/>
      <c r="S18" s="20"/>
      <c r="T18" s="20"/>
      <c r="U18" s="20"/>
      <c r="V18" s="20"/>
      <c r="W18" s="20"/>
      <c r="X18" s="20"/>
      <c r="Y18" s="20"/>
      <c r="Z18" s="20"/>
    </row>
    <row r="19">
      <c r="A19" s="11">
        <v>3.4670321659E10</v>
      </c>
      <c r="B19" s="11" t="s">
        <v>241</v>
      </c>
      <c r="C19" s="11" t="s">
        <v>30</v>
      </c>
      <c r="D19" s="12" t="s">
        <v>242</v>
      </c>
      <c r="E19" s="28" t="s">
        <v>116</v>
      </c>
      <c r="F19" s="28" t="s">
        <v>116</v>
      </c>
      <c r="G19" s="28" t="s">
        <v>124</v>
      </c>
      <c r="H19" s="12"/>
    </row>
    <row r="20">
      <c r="A20" s="6">
        <v>3.4653381287E10</v>
      </c>
      <c r="B20" s="6" t="s">
        <v>243</v>
      </c>
      <c r="C20" s="6" t="s">
        <v>10</v>
      </c>
      <c r="D20" s="7" t="s">
        <v>244</v>
      </c>
      <c r="E20" s="27" t="s">
        <v>130</v>
      </c>
      <c r="F20" s="27" t="s">
        <v>130</v>
      </c>
      <c r="G20" s="27" t="s">
        <v>124</v>
      </c>
      <c r="H20" s="7"/>
    </row>
    <row r="21">
      <c r="A21" s="11">
        <v>3.93408666649E11</v>
      </c>
      <c r="B21" s="11" t="s">
        <v>245</v>
      </c>
      <c r="C21" s="11" t="s">
        <v>10</v>
      </c>
      <c r="D21" s="12" t="s">
        <v>246</v>
      </c>
      <c r="E21" s="28" t="s">
        <v>130</v>
      </c>
      <c r="F21" s="28" t="s">
        <v>130</v>
      </c>
      <c r="G21" s="28" t="s">
        <v>117</v>
      </c>
      <c r="H21" s="12" t="s">
        <v>207</v>
      </c>
    </row>
    <row r="22">
      <c r="A22" s="6">
        <v>3.4638793387E10</v>
      </c>
      <c r="B22" s="6" t="s">
        <v>247</v>
      </c>
      <c r="C22" s="6" t="s">
        <v>30</v>
      </c>
      <c r="D22" s="7" t="s">
        <v>248</v>
      </c>
      <c r="E22" s="27" t="s">
        <v>116</v>
      </c>
      <c r="F22" s="27" t="s">
        <v>116</v>
      </c>
      <c r="G22" s="27" t="s">
        <v>124</v>
      </c>
      <c r="H22" s="7"/>
    </row>
    <row r="23">
      <c r="A23" s="11">
        <v>3.4601537395E10</v>
      </c>
      <c r="B23" s="11" t="s">
        <v>249</v>
      </c>
      <c r="C23" s="11" t="s">
        <v>30</v>
      </c>
      <c r="D23" s="12" t="s">
        <v>250</v>
      </c>
      <c r="E23" s="28" t="s">
        <v>130</v>
      </c>
      <c r="F23" s="28" t="s">
        <v>130</v>
      </c>
      <c r="G23" s="28" t="s">
        <v>124</v>
      </c>
      <c r="H23" s="12"/>
    </row>
    <row r="24">
      <c r="A24" s="6">
        <v>3.4618860943E10</v>
      </c>
      <c r="B24" s="6" t="s">
        <v>251</v>
      </c>
      <c r="C24" s="6" t="s">
        <v>10</v>
      </c>
      <c r="D24" s="7" t="s">
        <v>252</v>
      </c>
      <c r="E24" s="27" t="s">
        <v>130</v>
      </c>
      <c r="F24" s="27" t="s">
        <v>130</v>
      </c>
      <c r="G24" s="27" t="s">
        <v>117</v>
      </c>
      <c r="H24" s="7" t="s">
        <v>253</v>
      </c>
    </row>
    <row r="25">
      <c r="A25" s="11">
        <v>3.464435328E10</v>
      </c>
      <c r="B25" s="11" t="s">
        <v>254</v>
      </c>
      <c r="C25" s="11" t="s">
        <v>10</v>
      </c>
      <c r="D25" s="12" t="s">
        <v>255</v>
      </c>
      <c r="E25" s="28" t="s">
        <v>130</v>
      </c>
      <c r="F25" s="28" t="s">
        <v>130</v>
      </c>
      <c r="G25" s="28" t="s">
        <v>124</v>
      </c>
      <c r="H25" s="12"/>
    </row>
    <row r="26">
      <c r="A26" s="6">
        <v>9.05495623232E11</v>
      </c>
      <c r="B26" s="6" t="s">
        <v>256</v>
      </c>
      <c r="C26" s="6" t="s">
        <v>10</v>
      </c>
      <c r="D26" s="7" t="s">
        <v>257</v>
      </c>
      <c r="E26" s="27" t="s">
        <v>130</v>
      </c>
      <c r="F26" s="27" t="s">
        <v>130</v>
      </c>
      <c r="G26" s="27" t="s">
        <v>159</v>
      </c>
      <c r="H26" s="7" t="s">
        <v>258</v>
      </c>
    </row>
    <row r="27">
      <c r="A27" s="11">
        <v>3.4676043645E10</v>
      </c>
      <c r="B27" s="11" t="s">
        <v>259</v>
      </c>
      <c r="C27" s="11" t="s">
        <v>10</v>
      </c>
      <c r="D27" s="12" t="s">
        <v>260</v>
      </c>
      <c r="E27" s="28" t="s">
        <v>130</v>
      </c>
      <c r="F27" s="28" t="s">
        <v>130</v>
      </c>
      <c r="G27" s="28" t="s">
        <v>124</v>
      </c>
      <c r="H27" s="12"/>
    </row>
    <row r="28">
      <c r="A28" s="6">
        <v>3.4623042988E10</v>
      </c>
      <c r="B28" s="6" t="s">
        <v>261</v>
      </c>
      <c r="C28" s="6" t="s">
        <v>10</v>
      </c>
      <c r="D28" s="7" t="s">
        <v>262</v>
      </c>
      <c r="E28" s="27" t="s">
        <v>130</v>
      </c>
      <c r="F28" s="27" t="s">
        <v>130</v>
      </c>
      <c r="G28" s="27" t="s">
        <v>124</v>
      </c>
      <c r="H28" s="7"/>
    </row>
    <row r="29">
      <c r="A29" s="11">
        <v>3.462794293E10</v>
      </c>
      <c r="B29" s="11" t="s">
        <v>263</v>
      </c>
      <c r="C29" s="11" t="s">
        <v>10</v>
      </c>
      <c r="D29" s="12" t="s">
        <v>264</v>
      </c>
      <c r="E29" s="28" t="s">
        <v>130</v>
      </c>
      <c r="F29" s="28" t="s">
        <v>130</v>
      </c>
      <c r="G29" s="28" t="s">
        <v>124</v>
      </c>
      <c r="H29" s="30"/>
    </row>
    <row r="30">
      <c r="A30" s="6">
        <v>3.4662431925E10</v>
      </c>
      <c r="B30" s="6" t="s">
        <v>265</v>
      </c>
      <c r="C30" s="6" t="s">
        <v>30</v>
      </c>
      <c r="D30" s="7" t="s">
        <v>266</v>
      </c>
      <c r="E30" s="27" t="s">
        <v>130</v>
      </c>
      <c r="F30" s="27" t="s">
        <v>130</v>
      </c>
      <c r="G30" s="27" t="s">
        <v>124</v>
      </c>
      <c r="H30" s="31"/>
    </row>
    <row r="31">
      <c r="A31" s="11">
        <v>5.73158356633E11</v>
      </c>
      <c r="B31" s="11" t="s">
        <v>267</v>
      </c>
      <c r="C31" s="11" t="s">
        <v>10</v>
      </c>
      <c r="D31" s="12" t="s">
        <v>268</v>
      </c>
      <c r="E31" s="28" t="s">
        <v>130</v>
      </c>
      <c r="F31" s="28" t="s">
        <v>130</v>
      </c>
      <c r="G31" s="28" t="s">
        <v>124</v>
      </c>
      <c r="H31" s="30" t="s">
        <v>269</v>
      </c>
    </row>
    <row r="32">
      <c r="A32" s="6">
        <v>3.4620688105E10</v>
      </c>
      <c r="B32" s="6" t="s">
        <v>270</v>
      </c>
      <c r="C32" s="6" t="s">
        <v>30</v>
      </c>
      <c r="D32" s="7" t="s">
        <v>271</v>
      </c>
      <c r="E32" s="27" t="s">
        <v>116</v>
      </c>
      <c r="F32" s="27" t="s">
        <v>116</v>
      </c>
      <c r="G32" s="27" t="s">
        <v>124</v>
      </c>
      <c r="H32" s="22"/>
    </row>
    <row r="33">
      <c r="A33" s="11">
        <v>3.4626982421E10</v>
      </c>
      <c r="B33" s="11" t="s">
        <v>272</v>
      </c>
      <c r="C33" s="11" t="s">
        <v>30</v>
      </c>
      <c r="D33" s="12" t="s">
        <v>273</v>
      </c>
      <c r="E33" s="28" t="s">
        <v>130</v>
      </c>
      <c r="F33" s="28" t="s">
        <v>130</v>
      </c>
      <c r="G33" s="28" t="s">
        <v>124</v>
      </c>
      <c r="H33" s="25"/>
    </row>
    <row r="34">
      <c r="A34" s="6">
        <v>3.4659459574E10</v>
      </c>
      <c r="B34" s="6" t="s">
        <v>274</v>
      </c>
      <c r="C34" s="6" t="s">
        <v>10</v>
      </c>
      <c r="D34" s="7" t="s">
        <v>275</v>
      </c>
      <c r="E34" s="27" t="s">
        <v>130</v>
      </c>
      <c r="F34" s="27" t="s">
        <v>130</v>
      </c>
      <c r="G34" s="27" t="s">
        <v>124</v>
      </c>
      <c r="H34" s="22"/>
    </row>
    <row r="35">
      <c r="A35" s="11"/>
      <c r="B35" s="12"/>
      <c r="C35" s="11"/>
      <c r="D35" s="12"/>
      <c r="E35" s="25"/>
      <c r="F35" s="25"/>
      <c r="G35" s="25"/>
      <c r="H35" s="25"/>
    </row>
    <row r="36">
      <c r="A36" s="6"/>
      <c r="B36" s="7"/>
      <c r="C36" s="6"/>
      <c r="D36" s="7"/>
      <c r="E36" s="22"/>
      <c r="F36" s="22"/>
      <c r="G36" s="22"/>
      <c r="H36" s="22"/>
    </row>
    <row r="37">
      <c r="A37" s="11"/>
      <c r="B37" s="12"/>
      <c r="C37" s="11"/>
      <c r="D37" s="12"/>
      <c r="E37" s="25"/>
      <c r="F37" s="25"/>
      <c r="G37" s="25"/>
      <c r="H37" s="25"/>
    </row>
    <row r="38">
      <c r="A38" s="6"/>
      <c r="B38" s="7"/>
      <c r="C38" s="6"/>
      <c r="D38" s="7"/>
      <c r="E38" s="22"/>
      <c r="F38" s="22"/>
      <c r="G38" s="22"/>
      <c r="H38" s="22"/>
    </row>
    <row r="39">
      <c r="A39" s="11"/>
      <c r="B39" s="12"/>
      <c r="C39" s="11"/>
      <c r="D39" s="12"/>
      <c r="E39" s="25"/>
      <c r="F39" s="25"/>
      <c r="G39" s="25"/>
      <c r="H39" s="25"/>
    </row>
    <row r="40">
      <c r="A40" s="6"/>
      <c r="B40" s="7"/>
      <c r="C40" s="6"/>
      <c r="D40" s="7"/>
      <c r="E40" s="22"/>
      <c r="F40" s="22"/>
      <c r="G40" s="22"/>
      <c r="H40" s="22"/>
    </row>
    <row r="41">
      <c r="A41" s="11"/>
      <c r="B41" s="12"/>
      <c r="C41" s="11"/>
      <c r="D41" s="12"/>
      <c r="E41" s="25"/>
      <c r="F41" s="25"/>
      <c r="G41" s="25"/>
      <c r="H41" s="25"/>
    </row>
    <row r="42">
      <c r="A42" s="6"/>
      <c r="B42" s="7"/>
      <c r="C42" s="6"/>
      <c r="D42" s="7"/>
      <c r="E42" s="22"/>
      <c r="F42" s="22"/>
      <c r="G42" s="22"/>
      <c r="H42" s="22"/>
    </row>
    <row r="43">
      <c r="A43" s="11"/>
      <c r="B43" s="12"/>
      <c r="C43" s="11"/>
      <c r="D43" s="24"/>
      <c r="E43" s="25"/>
      <c r="F43" s="25"/>
      <c r="G43" s="25"/>
      <c r="H43" s="25"/>
    </row>
    <row r="44">
      <c r="A44" s="6"/>
      <c r="B44" s="7"/>
      <c r="C44" s="6"/>
      <c r="D44" s="21"/>
      <c r="E44" s="22"/>
      <c r="F44" s="22"/>
      <c r="G44" s="22"/>
      <c r="H44" s="22"/>
    </row>
    <row r="45">
      <c r="A45" s="11"/>
      <c r="B45" s="12"/>
      <c r="C45" s="11"/>
      <c r="D45" s="24"/>
      <c r="E45" s="25"/>
      <c r="F45" s="25"/>
      <c r="G45" s="25"/>
      <c r="H45" s="25"/>
    </row>
    <row r="46">
      <c r="A46" s="6"/>
      <c r="B46" s="7"/>
      <c r="C46" s="6"/>
      <c r="D46" s="21"/>
      <c r="E46" s="22"/>
      <c r="F46" s="22"/>
      <c r="G46" s="22"/>
      <c r="H46" s="22"/>
    </row>
    <row r="47">
      <c r="A47" s="11"/>
      <c r="B47" s="12"/>
      <c r="C47" s="11"/>
      <c r="D47" s="24"/>
      <c r="E47" s="25"/>
      <c r="F47" s="25"/>
      <c r="G47" s="25"/>
      <c r="H47" s="25"/>
    </row>
    <row r="48">
      <c r="A48" s="6"/>
      <c r="B48" s="7"/>
      <c r="C48" s="6"/>
      <c r="D48" s="21"/>
      <c r="E48" s="22"/>
      <c r="F48" s="22"/>
      <c r="G48" s="22"/>
      <c r="H48" s="22"/>
    </row>
    <row r="49">
      <c r="A49" s="11"/>
      <c r="B49" s="12"/>
      <c r="C49" s="11"/>
      <c r="D49" s="24"/>
      <c r="E49" s="25"/>
      <c r="F49" s="25"/>
      <c r="G49" s="25"/>
      <c r="H49" s="25"/>
    </row>
    <row r="50">
      <c r="A50" s="6"/>
      <c r="B50" s="7"/>
      <c r="C50" s="6"/>
      <c r="D50" s="21"/>
      <c r="E50" s="22"/>
      <c r="F50" s="22"/>
      <c r="G50" s="22"/>
      <c r="H50" s="22"/>
    </row>
    <row r="51">
      <c r="A51" s="11"/>
      <c r="B51" s="12"/>
      <c r="C51" s="11"/>
      <c r="D51" s="24"/>
      <c r="E51" s="25"/>
      <c r="F51" s="25"/>
      <c r="G51" s="25"/>
      <c r="H51" s="25"/>
    </row>
    <row r="52">
      <c r="A52" s="6"/>
      <c r="B52" s="7"/>
      <c r="C52" s="6"/>
      <c r="D52" s="21"/>
      <c r="E52" s="22"/>
      <c r="F52" s="22"/>
      <c r="G52" s="22"/>
      <c r="H52" s="22"/>
    </row>
    <row r="53">
      <c r="A53" s="11"/>
      <c r="B53" s="12"/>
      <c r="C53" s="11"/>
      <c r="D53" s="24"/>
      <c r="E53" s="25"/>
      <c r="F53" s="25"/>
      <c r="G53" s="25"/>
      <c r="H53" s="25"/>
    </row>
    <row r="54">
      <c r="A54" s="6"/>
      <c r="B54" s="7"/>
      <c r="C54" s="6"/>
      <c r="D54" s="21"/>
      <c r="E54" s="22"/>
      <c r="F54" s="22"/>
      <c r="G54" s="22"/>
      <c r="H54" s="22"/>
    </row>
    <row r="55">
      <c r="A55" s="11"/>
      <c r="B55" s="12"/>
      <c r="C55" s="11"/>
      <c r="D55" s="24"/>
      <c r="E55" s="25"/>
      <c r="F55" s="25"/>
      <c r="G55" s="25"/>
      <c r="H55" s="25"/>
    </row>
    <row r="56">
      <c r="A56" s="6"/>
      <c r="B56" s="7"/>
      <c r="C56" s="6"/>
      <c r="D56" s="21"/>
      <c r="E56" s="22"/>
      <c r="F56" s="22"/>
      <c r="G56" s="22"/>
      <c r="H56" s="22"/>
    </row>
    <row r="57">
      <c r="A57" s="11"/>
      <c r="B57" s="12"/>
      <c r="C57" s="11"/>
      <c r="D57" s="24"/>
      <c r="E57" s="25"/>
      <c r="F57" s="25"/>
      <c r="G57" s="25"/>
      <c r="H57" s="25"/>
    </row>
    <row r="58">
      <c r="A58" s="6"/>
      <c r="B58" s="7"/>
      <c r="C58" s="6"/>
      <c r="D58" s="21"/>
      <c r="E58" s="22"/>
      <c r="F58" s="22"/>
      <c r="G58" s="22"/>
      <c r="H58" s="22"/>
    </row>
    <row r="59">
      <c r="A59" s="11"/>
      <c r="B59" s="12"/>
      <c r="C59" s="11"/>
      <c r="D59" s="24"/>
      <c r="E59" s="25"/>
      <c r="F59" s="25"/>
      <c r="G59" s="25"/>
      <c r="H59" s="25"/>
    </row>
    <row r="60">
      <c r="A60" s="6"/>
      <c r="B60" s="7"/>
      <c r="C60" s="6"/>
      <c r="D60" s="21"/>
      <c r="E60" s="22"/>
      <c r="F60" s="22"/>
      <c r="G60" s="22"/>
      <c r="H60" s="22"/>
    </row>
    <row r="61">
      <c r="A61" s="11"/>
      <c r="B61" s="12"/>
      <c r="C61" s="11"/>
      <c r="D61" s="24"/>
      <c r="E61" s="25"/>
      <c r="F61" s="25"/>
      <c r="G61" s="25"/>
      <c r="H61" s="25"/>
    </row>
    <row r="62">
      <c r="A62" s="6"/>
      <c r="B62" s="7"/>
      <c r="C62" s="6"/>
      <c r="D62" s="21"/>
      <c r="E62" s="22"/>
      <c r="F62" s="22"/>
      <c r="G62" s="22"/>
      <c r="H62" s="22"/>
    </row>
    <row r="63">
      <c r="A63" s="11"/>
      <c r="B63" s="12"/>
      <c r="C63" s="11"/>
      <c r="D63" s="24"/>
      <c r="E63" s="25"/>
      <c r="F63" s="25"/>
      <c r="G63" s="25"/>
      <c r="H63" s="25"/>
    </row>
    <row r="64">
      <c r="A64" s="6"/>
      <c r="B64" s="7"/>
      <c r="C64" s="6"/>
      <c r="D64" s="21"/>
      <c r="E64" s="22"/>
      <c r="F64" s="22"/>
      <c r="G64" s="22"/>
      <c r="H64" s="22"/>
    </row>
    <row r="65">
      <c r="A65" s="11"/>
      <c r="B65" s="12"/>
      <c r="C65" s="11"/>
      <c r="D65" s="24"/>
      <c r="E65" s="25"/>
      <c r="F65" s="25"/>
      <c r="G65" s="25"/>
      <c r="H65" s="25"/>
    </row>
    <row r="66">
      <c r="A66" s="6"/>
      <c r="B66" s="7"/>
      <c r="C66" s="6"/>
      <c r="D66" s="21"/>
      <c r="E66" s="22"/>
      <c r="F66" s="22"/>
      <c r="G66" s="22"/>
      <c r="H66" s="22"/>
    </row>
    <row r="67">
      <c r="A67" s="11"/>
      <c r="B67" s="12"/>
      <c r="C67" s="11"/>
      <c r="D67" s="24"/>
      <c r="E67" s="25"/>
      <c r="F67" s="25"/>
      <c r="G67" s="25"/>
      <c r="H67" s="25"/>
    </row>
    <row r="68">
      <c r="A68" s="6"/>
      <c r="B68" s="7"/>
      <c r="C68" s="6"/>
      <c r="D68" s="21"/>
      <c r="E68" s="22"/>
      <c r="F68" s="22"/>
      <c r="G68" s="22"/>
      <c r="H68" s="22"/>
    </row>
    <row r="69">
      <c r="A69" s="11"/>
      <c r="B69" s="12"/>
      <c r="C69" s="11"/>
      <c r="D69" s="24"/>
      <c r="E69" s="25"/>
      <c r="F69" s="25"/>
      <c r="G69" s="25"/>
      <c r="H69" s="25"/>
    </row>
    <row r="70">
      <c r="A70" s="6"/>
      <c r="B70" s="7"/>
      <c r="C70" s="6"/>
      <c r="D70" s="21"/>
      <c r="E70" s="22"/>
      <c r="F70" s="22"/>
      <c r="G70" s="22"/>
      <c r="H70" s="22"/>
    </row>
    <row r="71">
      <c r="A71" s="11"/>
      <c r="B71" s="12"/>
      <c r="C71" s="11"/>
      <c r="D71" s="24"/>
      <c r="E71" s="25"/>
      <c r="F71" s="25"/>
      <c r="G71" s="25"/>
      <c r="H71" s="25"/>
    </row>
    <row r="72">
      <c r="A72" s="6"/>
      <c r="B72" s="7"/>
      <c r="C72" s="6"/>
      <c r="D72" s="21"/>
      <c r="E72" s="22"/>
      <c r="F72" s="22"/>
      <c r="G72" s="22"/>
      <c r="H72" s="22"/>
    </row>
    <row r="73">
      <c r="A73" s="11"/>
      <c r="B73" s="12"/>
      <c r="C73" s="11"/>
      <c r="D73" s="24"/>
      <c r="E73" s="25"/>
      <c r="F73" s="25"/>
      <c r="G73" s="25"/>
      <c r="H73" s="25"/>
    </row>
    <row r="74">
      <c r="A74" s="6"/>
      <c r="B74" s="7"/>
      <c r="C74" s="6"/>
      <c r="D74" s="21"/>
      <c r="E74" s="22"/>
      <c r="F74" s="22"/>
      <c r="G74" s="22"/>
      <c r="H74" s="22"/>
    </row>
    <row r="75">
      <c r="A75" s="11"/>
      <c r="B75" s="12"/>
      <c r="C75" s="11"/>
      <c r="D75" s="24"/>
      <c r="E75" s="25"/>
      <c r="F75" s="25"/>
      <c r="G75" s="25"/>
      <c r="H75" s="25"/>
    </row>
    <row r="76">
      <c r="A76" s="6"/>
      <c r="B76" s="7"/>
      <c r="C76" s="6"/>
      <c r="D76" s="21"/>
      <c r="E76" s="22"/>
      <c r="F76" s="22"/>
      <c r="G76" s="22"/>
      <c r="H76" s="22"/>
    </row>
    <row r="77">
      <c r="A77" s="11"/>
      <c r="B77" s="12"/>
      <c r="C77" s="11"/>
      <c r="D77" s="24"/>
      <c r="E77" s="25"/>
      <c r="F77" s="25"/>
      <c r="G77" s="25"/>
      <c r="H77" s="25"/>
    </row>
    <row r="78">
      <c r="A78" s="6"/>
      <c r="B78" s="7"/>
      <c r="C78" s="6"/>
      <c r="D78" s="21"/>
      <c r="E78" s="22"/>
      <c r="F78" s="22"/>
      <c r="G78" s="22"/>
      <c r="H78" s="22"/>
    </row>
    <row r="79">
      <c r="A79" s="11"/>
      <c r="B79" s="12"/>
      <c r="C79" s="11"/>
      <c r="D79" s="24"/>
      <c r="E79" s="25"/>
      <c r="F79" s="25"/>
      <c r="G79" s="25"/>
      <c r="H79" s="25"/>
    </row>
    <row r="80">
      <c r="A80" s="6"/>
      <c r="B80" s="7"/>
      <c r="C80" s="6"/>
      <c r="D80" s="21"/>
      <c r="E80" s="22"/>
      <c r="F80" s="22"/>
      <c r="G80" s="22"/>
      <c r="H80" s="22"/>
    </row>
    <row r="81">
      <c r="A81" s="11"/>
      <c r="B81" s="12"/>
      <c r="C81" s="11"/>
      <c r="D81" s="24"/>
      <c r="E81" s="25"/>
      <c r="F81" s="25"/>
      <c r="G81" s="25"/>
      <c r="H81" s="25"/>
    </row>
    <row r="82">
      <c r="A82" s="6"/>
      <c r="B82" s="7"/>
      <c r="C82" s="6"/>
      <c r="D82" s="21"/>
      <c r="E82" s="22"/>
      <c r="F82" s="22"/>
      <c r="G82" s="22"/>
      <c r="H82" s="22"/>
    </row>
    <row r="83">
      <c r="A83" s="11"/>
      <c r="B83" s="12"/>
      <c r="C83" s="11"/>
      <c r="D83" s="24"/>
      <c r="E83" s="25"/>
      <c r="F83" s="25"/>
      <c r="G83" s="25"/>
      <c r="H83" s="25"/>
    </row>
    <row r="84">
      <c r="A84" s="6"/>
      <c r="B84" s="7"/>
      <c r="C84" s="6"/>
      <c r="D84" s="21"/>
      <c r="E84" s="22"/>
      <c r="F84" s="22"/>
      <c r="G84" s="22"/>
      <c r="H84" s="22"/>
    </row>
    <row r="85">
      <c r="A85" s="11"/>
      <c r="B85" s="12"/>
      <c r="C85" s="11"/>
      <c r="D85" s="24"/>
      <c r="E85" s="25"/>
      <c r="F85" s="25"/>
      <c r="G85" s="25"/>
      <c r="H85" s="25"/>
    </row>
    <row r="86">
      <c r="A86" s="6"/>
      <c r="B86" s="7"/>
      <c r="C86" s="6"/>
      <c r="D86" s="21"/>
      <c r="E86" s="22"/>
      <c r="F86" s="22"/>
      <c r="G86" s="22"/>
      <c r="H86" s="22"/>
    </row>
    <row r="87">
      <c r="A87" s="11"/>
      <c r="B87" s="12"/>
      <c r="C87" s="11"/>
      <c r="D87" s="24"/>
      <c r="E87" s="25"/>
      <c r="F87" s="25"/>
      <c r="G87" s="25"/>
      <c r="H87" s="25"/>
    </row>
    <row r="88">
      <c r="A88" s="6"/>
      <c r="B88" s="7"/>
      <c r="C88" s="6"/>
      <c r="D88" s="21"/>
      <c r="E88" s="22"/>
      <c r="F88" s="22"/>
      <c r="G88" s="22"/>
      <c r="H88" s="22"/>
    </row>
    <row r="89">
      <c r="A89" s="11"/>
      <c r="B89" s="12"/>
      <c r="C89" s="11"/>
      <c r="D89" s="24"/>
      <c r="E89" s="25"/>
      <c r="F89" s="25"/>
      <c r="G89" s="25"/>
      <c r="H89" s="25"/>
    </row>
    <row r="90">
      <c r="A90" s="6"/>
      <c r="B90" s="7"/>
      <c r="C90" s="6"/>
      <c r="D90" s="21"/>
      <c r="E90" s="22"/>
      <c r="F90" s="22"/>
      <c r="G90" s="22"/>
      <c r="H90" s="22"/>
    </row>
    <row r="91">
      <c r="A91" s="11"/>
      <c r="B91" s="12"/>
      <c r="C91" s="11"/>
      <c r="D91" s="24"/>
      <c r="E91" s="25"/>
      <c r="F91" s="25"/>
      <c r="G91" s="25"/>
      <c r="H91" s="25"/>
    </row>
    <row r="92">
      <c r="A92" s="6"/>
      <c r="B92" s="7"/>
      <c r="C92" s="6"/>
      <c r="D92" s="21"/>
      <c r="E92" s="22"/>
      <c r="F92" s="22"/>
      <c r="G92" s="22"/>
      <c r="H92" s="22"/>
    </row>
    <row r="93">
      <c r="A93" s="11"/>
      <c r="B93" s="12"/>
      <c r="C93" s="11"/>
      <c r="D93" s="24"/>
      <c r="E93" s="25"/>
      <c r="F93" s="25"/>
      <c r="G93" s="25"/>
      <c r="H93" s="25"/>
    </row>
    <row r="94">
      <c r="A94" s="6"/>
      <c r="B94" s="7"/>
      <c r="C94" s="6"/>
      <c r="D94" s="21"/>
      <c r="E94" s="22"/>
      <c r="F94" s="22"/>
      <c r="G94" s="22"/>
      <c r="H94" s="22"/>
    </row>
    <row r="95">
      <c r="A95" s="11"/>
      <c r="B95" s="12"/>
      <c r="C95" s="11"/>
      <c r="D95" s="24"/>
      <c r="E95" s="25"/>
      <c r="F95" s="25"/>
      <c r="G95" s="25"/>
      <c r="H95" s="25"/>
    </row>
    <row r="96">
      <c r="A96" s="6"/>
      <c r="B96" s="7"/>
      <c r="C96" s="6"/>
      <c r="D96" s="21"/>
      <c r="E96" s="22"/>
      <c r="F96" s="22"/>
      <c r="G96" s="22"/>
      <c r="H96" s="22"/>
    </row>
    <row r="97">
      <c r="A97" s="11"/>
      <c r="B97" s="12"/>
      <c r="C97" s="11"/>
      <c r="D97" s="24"/>
      <c r="E97" s="25"/>
      <c r="F97" s="25"/>
      <c r="G97" s="25"/>
      <c r="H97" s="25"/>
    </row>
    <row r="98">
      <c r="A98" s="6"/>
      <c r="B98" s="7"/>
      <c r="C98" s="6"/>
      <c r="D98" s="21"/>
      <c r="E98" s="22"/>
      <c r="F98" s="22"/>
      <c r="G98" s="22"/>
      <c r="H98" s="22"/>
    </row>
    <row r="99">
      <c r="A99" s="11"/>
      <c r="B99" s="12"/>
      <c r="C99" s="11"/>
      <c r="D99" s="24"/>
      <c r="E99" s="25"/>
      <c r="F99" s="25"/>
      <c r="G99" s="25"/>
      <c r="H99" s="25"/>
    </row>
    <row r="100">
      <c r="A100" s="6"/>
      <c r="B100" s="7"/>
      <c r="C100" s="6"/>
      <c r="D100" s="21"/>
      <c r="E100" s="22"/>
      <c r="F100" s="22"/>
      <c r="G100" s="22"/>
      <c r="H100" s="22"/>
    </row>
    <row r="101">
      <c r="A101" s="11"/>
      <c r="B101" s="12"/>
      <c r="C101" s="11"/>
      <c r="D101" s="24"/>
      <c r="E101" s="25"/>
      <c r="F101" s="25"/>
      <c r="G101" s="25"/>
      <c r="H101" s="25"/>
    </row>
    <row r="102">
      <c r="A102" s="6"/>
      <c r="B102" s="7"/>
      <c r="C102" s="6"/>
      <c r="D102" s="21"/>
      <c r="E102" s="22"/>
      <c r="F102" s="22"/>
      <c r="G102" s="22"/>
      <c r="H102" s="22"/>
    </row>
    <row r="103">
      <c r="A103" s="11"/>
      <c r="B103" s="12"/>
      <c r="C103" s="11"/>
      <c r="D103" s="24"/>
      <c r="E103" s="25"/>
      <c r="F103" s="25"/>
      <c r="G103" s="25"/>
      <c r="H103" s="25"/>
    </row>
    <row r="104">
      <c r="A104" s="6"/>
      <c r="B104" s="7"/>
      <c r="C104" s="6"/>
      <c r="D104" s="21"/>
      <c r="E104" s="22"/>
      <c r="F104" s="22"/>
      <c r="G104" s="22"/>
      <c r="H104" s="22"/>
    </row>
    <row r="105">
      <c r="A105" s="11"/>
      <c r="B105" s="12"/>
      <c r="C105" s="11"/>
      <c r="D105" s="24"/>
      <c r="E105" s="25"/>
      <c r="F105" s="25"/>
      <c r="G105" s="25"/>
      <c r="H105" s="25"/>
    </row>
    <row r="106">
      <c r="A106" s="6"/>
      <c r="B106" s="7"/>
      <c r="C106" s="6"/>
      <c r="D106" s="21"/>
      <c r="E106" s="22"/>
      <c r="F106" s="22"/>
      <c r="G106" s="22"/>
      <c r="H106" s="22"/>
    </row>
    <row r="107">
      <c r="A107" s="11"/>
      <c r="B107" s="12"/>
      <c r="C107" s="11"/>
      <c r="D107" s="24"/>
      <c r="E107" s="25"/>
      <c r="F107" s="25"/>
      <c r="G107" s="25"/>
      <c r="H107" s="25"/>
    </row>
    <row r="108">
      <c r="A108" s="6"/>
      <c r="B108" s="7"/>
      <c r="C108" s="6"/>
      <c r="D108" s="21"/>
      <c r="E108" s="22"/>
      <c r="F108" s="22"/>
      <c r="G108" s="22"/>
      <c r="H108" s="22"/>
    </row>
    <row r="109">
      <c r="A109" s="11"/>
      <c r="B109" s="12"/>
      <c r="C109" s="11"/>
      <c r="D109" s="24"/>
      <c r="E109" s="25"/>
      <c r="F109" s="25"/>
      <c r="G109" s="25"/>
      <c r="H109" s="25"/>
    </row>
    <row r="110">
      <c r="A110" s="6"/>
      <c r="B110" s="7"/>
      <c r="C110" s="6"/>
      <c r="D110" s="21"/>
      <c r="E110" s="22"/>
      <c r="F110" s="22"/>
      <c r="G110" s="22"/>
      <c r="H110" s="22"/>
    </row>
    <row r="111">
      <c r="A111" s="11"/>
      <c r="B111" s="12"/>
      <c r="C111" s="11"/>
      <c r="D111" s="24"/>
      <c r="E111" s="25"/>
      <c r="F111" s="25"/>
      <c r="G111" s="25"/>
      <c r="H111" s="25"/>
    </row>
    <row r="112">
      <c r="A112" s="6"/>
      <c r="B112" s="7"/>
      <c r="C112" s="6"/>
      <c r="D112" s="21"/>
      <c r="E112" s="22"/>
      <c r="F112" s="22"/>
      <c r="G112" s="22"/>
      <c r="H112" s="22"/>
    </row>
    <row r="113">
      <c r="A113" s="11"/>
      <c r="B113" s="12"/>
      <c r="C113" s="11"/>
      <c r="D113" s="24"/>
      <c r="E113" s="25"/>
      <c r="F113" s="25"/>
      <c r="G113" s="25"/>
      <c r="H113" s="25"/>
    </row>
    <row r="114">
      <c r="A114" s="6"/>
      <c r="B114" s="7"/>
      <c r="C114" s="6"/>
      <c r="D114" s="21"/>
      <c r="E114" s="22"/>
      <c r="F114" s="22"/>
      <c r="G114" s="22"/>
      <c r="H114" s="22"/>
    </row>
    <row r="115">
      <c r="A115" s="11"/>
      <c r="B115" s="12"/>
      <c r="C115" s="11"/>
      <c r="D115" s="24"/>
      <c r="E115" s="25"/>
      <c r="F115" s="25"/>
      <c r="G115" s="25"/>
      <c r="H115" s="25"/>
    </row>
    <row r="116">
      <c r="A116" s="6"/>
      <c r="B116" s="7"/>
      <c r="C116" s="6"/>
      <c r="D116" s="21"/>
      <c r="E116" s="22"/>
      <c r="F116" s="22"/>
      <c r="G116" s="22"/>
      <c r="H116" s="22"/>
    </row>
    <row r="117">
      <c r="A117" s="11"/>
      <c r="B117" s="12"/>
      <c r="C117" s="11"/>
      <c r="D117" s="24"/>
      <c r="E117" s="25"/>
      <c r="F117" s="25"/>
      <c r="G117" s="25"/>
      <c r="H117" s="25"/>
    </row>
    <row r="118">
      <c r="A118" s="6"/>
      <c r="B118" s="7"/>
      <c r="C118" s="6"/>
      <c r="D118" s="21"/>
      <c r="E118" s="22"/>
      <c r="F118" s="22"/>
      <c r="G118" s="22"/>
      <c r="H118" s="22"/>
    </row>
    <row r="119">
      <c r="A119" s="11"/>
      <c r="B119" s="12"/>
      <c r="C119" s="11"/>
      <c r="D119" s="24"/>
      <c r="E119" s="25"/>
      <c r="F119" s="25"/>
      <c r="G119" s="25"/>
      <c r="H119" s="25"/>
    </row>
    <row r="120">
      <c r="A120" s="6"/>
      <c r="B120" s="7"/>
      <c r="C120" s="6"/>
      <c r="D120" s="21"/>
      <c r="E120" s="22"/>
      <c r="F120" s="22"/>
      <c r="G120" s="22"/>
      <c r="H120" s="22"/>
    </row>
    <row r="121">
      <c r="A121" s="11"/>
      <c r="B121" s="12"/>
      <c r="C121" s="11"/>
      <c r="D121" s="24"/>
      <c r="E121" s="25"/>
      <c r="F121" s="25"/>
      <c r="G121" s="25"/>
      <c r="H121" s="25"/>
    </row>
    <row r="122">
      <c r="A122" s="6"/>
      <c r="B122" s="7"/>
      <c r="C122" s="6"/>
      <c r="D122" s="21"/>
      <c r="E122" s="22"/>
      <c r="F122" s="22"/>
      <c r="G122" s="22"/>
      <c r="H122" s="22"/>
    </row>
    <row r="123">
      <c r="A123" s="11"/>
      <c r="B123" s="12"/>
      <c r="C123" s="11"/>
      <c r="D123" s="24"/>
      <c r="E123" s="25"/>
      <c r="F123" s="25"/>
      <c r="G123" s="25"/>
      <c r="H123" s="25"/>
    </row>
    <row r="124">
      <c r="A124" s="6"/>
      <c r="B124" s="7"/>
      <c r="C124" s="6"/>
      <c r="D124" s="21"/>
      <c r="E124" s="22"/>
      <c r="F124" s="22"/>
      <c r="G124" s="22"/>
      <c r="H124" s="22"/>
    </row>
    <row r="125">
      <c r="A125" s="11"/>
      <c r="B125" s="12"/>
      <c r="C125" s="11"/>
      <c r="D125" s="24"/>
      <c r="E125" s="25"/>
      <c r="F125" s="25"/>
      <c r="G125" s="25"/>
      <c r="H125" s="25"/>
    </row>
    <row r="126">
      <c r="A126" s="6"/>
      <c r="B126" s="7"/>
      <c r="C126" s="6"/>
      <c r="D126" s="21"/>
      <c r="E126" s="22"/>
      <c r="F126" s="22"/>
      <c r="G126" s="22"/>
      <c r="H126" s="22"/>
    </row>
    <row r="127">
      <c r="A127" s="11"/>
      <c r="B127" s="12"/>
      <c r="C127" s="11"/>
      <c r="D127" s="24"/>
      <c r="E127" s="25"/>
      <c r="F127" s="25"/>
      <c r="G127" s="25"/>
      <c r="H127" s="25"/>
    </row>
    <row r="128">
      <c r="A128" s="6"/>
      <c r="B128" s="7"/>
      <c r="C128" s="6"/>
      <c r="D128" s="21"/>
      <c r="E128" s="22"/>
      <c r="F128" s="22"/>
      <c r="G128" s="22"/>
      <c r="H128" s="22"/>
    </row>
    <row r="129">
      <c r="A129" s="11"/>
      <c r="B129" s="12"/>
      <c r="C129" s="11"/>
      <c r="D129" s="24"/>
      <c r="E129" s="25"/>
      <c r="F129" s="25"/>
      <c r="G129" s="25"/>
      <c r="H129" s="25"/>
    </row>
    <row r="130">
      <c r="A130" s="6"/>
      <c r="B130" s="7"/>
      <c r="C130" s="6"/>
      <c r="D130" s="21"/>
      <c r="E130" s="22"/>
      <c r="F130" s="22"/>
      <c r="G130" s="22"/>
      <c r="H130" s="22"/>
    </row>
    <row r="131">
      <c r="A131" s="11"/>
      <c r="B131" s="12"/>
      <c r="C131" s="11"/>
      <c r="D131" s="24"/>
      <c r="E131" s="25"/>
      <c r="F131" s="25"/>
      <c r="G131" s="25"/>
      <c r="H131" s="25"/>
    </row>
    <row r="132">
      <c r="A132" s="6"/>
      <c r="B132" s="7"/>
      <c r="C132" s="6"/>
      <c r="D132" s="21"/>
      <c r="E132" s="22"/>
      <c r="F132" s="22"/>
      <c r="G132" s="22"/>
      <c r="H132" s="22"/>
    </row>
    <row r="133">
      <c r="A133" s="11"/>
      <c r="B133" s="12"/>
      <c r="C133" s="11"/>
      <c r="D133" s="24"/>
      <c r="E133" s="25"/>
      <c r="F133" s="25"/>
      <c r="G133" s="25"/>
      <c r="H133" s="25"/>
    </row>
    <row r="134">
      <c r="A134" s="6"/>
      <c r="B134" s="7"/>
      <c r="C134" s="6"/>
      <c r="D134" s="21"/>
      <c r="E134" s="22"/>
      <c r="F134" s="22"/>
      <c r="G134" s="22"/>
      <c r="H134" s="22"/>
    </row>
    <row r="135">
      <c r="A135" s="11"/>
      <c r="B135" s="12"/>
      <c r="C135" s="11"/>
      <c r="D135" s="24"/>
      <c r="E135" s="25"/>
      <c r="F135" s="25"/>
      <c r="G135" s="25"/>
      <c r="H135" s="25"/>
    </row>
    <row r="136">
      <c r="A136" s="6"/>
      <c r="B136" s="7"/>
      <c r="C136" s="6"/>
      <c r="D136" s="21"/>
      <c r="E136" s="22"/>
      <c r="F136" s="22"/>
      <c r="G136" s="22"/>
      <c r="H136" s="22"/>
    </row>
    <row r="137">
      <c r="A137" s="11"/>
      <c r="B137" s="12"/>
      <c r="C137" s="11"/>
      <c r="D137" s="24"/>
      <c r="E137" s="25"/>
      <c r="F137" s="25"/>
      <c r="G137" s="25"/>
      <c r="H137" s="25"/>
    </row>
    <row r="138">
      <c r="A138" s="6"/>
      <c r="B138" s="7"/>
      <c r="C138" s="6"/>
      <c r="D138" s="21"/>
      <c r="E138" s="22"/>
      <c r="F138" s="22"/>
      <c r="G138" s="22"/>
      <c r="H138" s="22"/>
    </row>
    <row r="139">
      <c r="A139" s="11"/>
      <c r="B139" s="12"/>
      <c r="C139" s="11"/>
      <c r="D139" s="24"/>
      <c r="E139" s="25"/>
      <c r="F139" s="25"/>
      <c r="G139" s="25"/>
      <c r="H139" s="25"/>
    </row>
    <row r="140">
      <c r="A140" s="6"/>
      <c r="B140" s="7"/>
      <c r="C140" s="6"/>
      <c r="D140" s="21"/>
      <c r="E140" s="22"/>
      <c r="F140" s="22"/>
      <c r="G140" s="22"/>
      <c r="H140" s="22"/>
    </row>
    <row r="141">
      <c r="A141" s="11"/>
      <c r="B141" s="12"/>
      <c r="C141" s="11"/>
      <c r="D141" s="24"/>
      <c r="E141" s="25"/>
      <c r="F141" s="25"/>
      <c r="G141" s="25"/>
      <c r="H141" s="25"/>
    </row>
    <row r="142">
      <c r="A142" s="6"/>
      <c r="B142" s="7"/>
      <c r="C142" s="6"/>
      <c r="D142" s="21"/>
      <c r="E142" s="22"/>
      <c r="F142" s="22"/>
      <c r="G142" s="22"/>
      <c r="H142" s="22"/>
    </row>
    <row r="143">
      <c r="A143" s="11"/>
      <c r="B143" s="12"/>
      <c r="C143" s="11"/>
      <c r="D143" s="24"/>
      <c r="E143" s="25"/>
      <c r="F143" s="25"/>
      <c r="G143" s="25"/>
      <c r="H143" s="25"/>
    </row>
    <row r="144">
      <c r="A144" s="6"/>
      <c r="B144" s="7"/>
      <c r="C144" s="6"/>
      <c r="D144" s="21"/>
      <c r="E144" s="22"/>
      <c r="F144" s="22"/>
      <c r="G144" s="22"/>
      <c r="H144" s="22"/>
    </row>
    <row r="145">
      <c r="A145" s="11"/>
      <c r="B145" s="12"/>
      <c r="C145" s="11"/>
      <c r="D145" s="24"/>
      <c r="E145" s="25"/>
      <c r="F145" s="25"/>
      <c r="G145" s="25"/>
      <c r="H145" s="25"/>
    </row>
    <row r="146">
      <c r="A146" s="6"/>
      <c r="B146" s="7"/>
      <c r="C146" s="6"/>
      <c r="D146" s="21"/>
      <c r="E146" s="22"/>
      <c r="F146" s="22"/>
      <c r="G146" s="22"/>
      <c r="H146" s="22"/>
    </row>
    <row r="147">
      <c r="A147" s="11"/>
      <c r="B147" s="12"/>
      <c r="C147" s="11"/>
      <c r="D147" s="24"/>
      <c r="E147" s="25"/>
      <c r="F147" s="25"/>
      <c r="G147" s="25"/>
      <c r="H147" s="25"/>
    </row>
    <row r="148">
      <c r="A148" s="6"/>
      <c r="B148" s="7"/>
      <c r="C148" s="6"/>
      <c r="D148" s="21"/>
      <c r="E148" s="22"/>
      <c r="F148" s="22"/>
      <c r="G148" s="22"/>
      <c r="H148" s="22"/>
    </row>
    <row r="149">
      <c r="A149" s="11"/>
      <c r="B149" s="12"/>
      <c r="C149" s="11"/>
      <c r="D149" s="24"/>
      <c r="E149" s="25"/>
      <c r="F149" s="25"/>
      <c r="G149" s="25"/>
      <c r="H149" s="25"/>
    </row>
    <row r="150">
      <c r="A150" s="6"/>
      <c r="B150" s="7"/>
      <c r="C150" s="6"/>
      <c r="D150" s="21"/>
      <c r="E150" s="22"/>
      <c r="F150" s="22"/>
      <c r="G150" s="22"/>
      <c r="H150" s="22"/>
    </row>
    <row r="151">
      <c r="A151" s="11"/>
      <c r="B151" s="12"/>
      <c r="C151" s="11"/>
      <c r="D151" s="24"/>
      <c r="E151" s="25"/>
      <c r="F151" s="25"/>
      <c r="G151" s="25"/>
      <c r="H151" s="25"/>
    </row>
    <row r="152">
      <c r="A152" s="6"/>
      <c r="B152" s="7"/>
      <c r="C152" s="6"/>
      <c r="D152" s="21"/>
      <c r="E152" s="22"/>
      <c r="F152" s="22"/>
      <c r="G152" s="22"/>
      <c r="H152" s="22"/>
    </row>
    <row r="153">
      <c r="A153" s="11"/>
      <c r="B153" s="12"/>
      <c r="C153" s="11"/>
      <c r="D153" s="24"/>
      <c r="E153" s="25"/>
      <c r="F153" s="25"/>
      <c r="G153" s="25"/>
      <c r="H153" s="25"/>
    </row>
    <row r="154">
      <c r="A154" s="6"/>
      <c r="B154" s="7"/>
      <c r="C154" s="6"/>
      <c r="D154" s="21"/>
      <c r="E154" s="22"/>
      <c r="F154" s="22"/>
      <c r="G154" s="22"/>
      <c r="H154" s="22"/>
    </row>
    <row r="155">
      <c r="A155" s="11"/>
      <c r="B155" s="12"/>
      <c r="C155" s="11"/>
      <c r="D155" s="24"/>
      <c r="E155" s="25"/>
      <c r="F155" s="25"/>
      <c r="G155" s="25"/>
      <c r="H155" s="25"/>
    </row>
    <row r="156">
      <c r="A156" s="6"/>
      <c r="B156" s="7"/>
      <c r="C156" s="6"/>
      <c r="D156" s="21"/>
      <c r="E156" s="22"/>
      <c r="F156" s="22"/>
      <c r="G156" s="22"/>
      <c r="H156" s="22"/>
    </row>
    <row r="157">
      <c r="A157" s="11"/>
      <c r="B157" s="12"/>
      <c r="C157" s="11"/>
      <c r="D157" s="24"/>
      <c r="E157" s="25"/>
      <c r="F157" s="25"/>
      <c r="G157" s="25"/>
      <c r="H157" s="25"/>
    </row>
    <row r="158">
      <c r="A158" s="6"/>
      <c r="B158" s="7"/>
      <c r="C158" s="6"/>
      <c r="D158" s="21"/>
      <c r="E158" s="22"/>
      <c r="F158" s="22"/>
      <c r="G158" s="22"/>
      <c r="H158" s="22"/>
    </row>
    <row r="159">
      <c r="A159" s="11"/>
      <c r="B159" s="12"/>
      <c r="C159" s="11"/>
      <c r="D159" s="24"/>
      <c r="E159" s="25"/>
      <c r="F159" s="25"/>
      <c r="G159" s="25"/>
      <c r="H159" s="25"/>
    </row>
    <row r="160">
      <c r="A160" s="6"/>
      <c r="B160" s="7"/>
      <c r="C160" s="6"/>
      <c r="D160" s="21"/>
      <c r="E160" s="22"/>
      <c r="F160" s="22"/>
      <c r="G160" s="22"/>
      <c r="H160" s="22"/>
    </row>
    <row r="161">
      <c r="A161" s="11"/>
      <c r="B161" s="12"/>
      <c r="C161" s="11"/>
      <c r="D161" s="24"/>
      <c r="E161" s="25"/>
      <c r="F161" s="25"/>
      <c r="G161" s="25"/>
      <c r="H161" s="25"/>
    </row>
    <row r="162">
      <c r="A162" s="6"/>
      <c r="B162" s="7"/>
      <c r="C162" s="6"/>
      <c r="D162" s="21"/>
      <c r="E162" s="22"/>
      <c r="F162" s="22"/>
      <c r="G162" s="22"/>
      <c r="H162" s="22"/>
    </row>
    <row r="163">
      <c r="A163" s="11"/>
      <c r="B163" s="12"/>
      <c r="C163" s="11"/>
      <c r="D163" s="24"/>
      <c r="E163" s="25"/>
      <c r="F163" s="25"/>
      <c r="G163" s="25"/>
      <c r="H163" s="25"/>
    </row>
    <row r="164">
      <c r="A164" s="6"/>
      <c r="B164" s="7"/>
      <c r="C164" s="6"/>
      <c r="D164" s="21"/>
      <c r="E164" s="22"/>
      <c r="F164" s="22"/>
      <c r="G164" s="22"/>
      <c r="H164" s="22"/>
    </row>
    <row r="165">
      <c r="A165" s="11"/>
      <c r="B165" s="12"/>
      <c r="C165" s="11"/>
      <c r="D165" s="24"/>
      <c r="E165" s="25"/>
      <c r="F165" s="25"/>
      <c r="G165" s="25"/>
      <c r="H165" s="25"/>
    </row>
    <row r="166">
      <c r="A166" s="6"/>
      <c r="B166" s="7"/>
      <c r="C166" s="6"/>
      <c r="D166" s="21"/>
      <c r="E166" s="22"/>
      <c r="F166" s="22"/>
      <c r="G166" s="22"/>
      <c r="H166" s="22"/>
    </row>
    <row r="167">
      <c r="A167" s="11"/>
      <c r="B167" s="12"/>
      <c r="C167" s="11"/>
      <c r="D167" s="24"/>
      <c r="E167" s="25"/>
      <c r="F167" s="25"/>
      <c r="G167" s="25"/>
      <c r="H167" s="25"/>
    </row>
    <row r="168">
      <c r="A168" s="6"/>
      <c r="B168" s="7"/>
      <c r="C168" s="6"/>
      <c r="D168" s="21"/>
      <c r="E168" s="22"/>
      <c r="F168" s="22"/>
      <c r="G168" s="22"/>
      <c r="H168" s="22"/>
    </row>
    <row r="169">
      <c r="A169" s="11"/>
      <c r="B169" s="12"/>
      <c r="C169" s="11"/>
      <c r="D169" s="24"/>
      <c r="E169" s="25"/>
      <c r="F169" s="25"/>
      <c r="G169" s="25"/>
      <c r="H169" s="25"/>
    </row>
    <row r="170">
      <c r="A170" s="6"/>
      <c r="B170" s="7"/>
      <c r="C170" s="6"/>
      <c r="D170" s="21"/>
      <c r="E170" s="22"/>
      <c r="F170" s="22"/>
      <c r="G170" s="22"/>
      <c r="H170" s="22"/>
    </row>
    <row r="171">
      <c r="A171" s="11"/>
      <c r="B171" s="12"/>
      <c r="C171" s="11"/>
      <c r="D171" s="24"/>
      <c r="E171" s="25"/>
      <c r="F171" s="25"/>
      <c r="G171" s="25"/>
      <c r="H171" s="25"/>
    </row>
    <row r="172">
      <c r="A172" s="6"/>
      <c r="B172" s="7"/>
      <c r="C172" s="6"/>
      <c r="D172" s="21"/>
      <c r="E172" s="22"/>
      <c r="F172" s="22"/>
      <c r="G172" s="22"/>
      <c r="H172" s="22"/>
    </row>
    <row r="173">
      <c r="A173" s="11"/>
      <c r="B173" s="12"/>
      <c r="C173" s="11"/>
      <c r="D173" s="24"/>
      <c r="E173" s="25"/>
      <c r="F173" s="25"/>
      <c r="G173" s="25"/>
      <c r="H173" s="25"/>
    </row>
    <row r="174">
      <c r="A174" s="6"/>
      <c r="B174" s="7"/>
      <c r="C174" s="6"/>
      <c r="D174" s="21"/>
      <c r="E174" s="22"/>
      <c r="F174" s="22"/>
      <c r="G174" s="22"/>
      <c r="H174" s="22"/>
    </row>
    <row r="175">
      <c r="A175" s="11"/>
      <c r="B175" s="12"/>
      <c r="C175" s="11"/>
      <c r="D175" s="24"/>
      <c r="E175" s="25"/>
      <c r="F175" s="25"/>
      <c r="G175" s="25"/>
      <c r="H175" s="25"/>
    </row>
    <row r="176">
      <c r="A176" s="6"/>
      <c r="B176" s="7"/>
      <c r="C176" s="6"/>
      <c r="D176" s="21"/>
      <c r="E176" s="22"/>
      <c r="F176" s="22"/>
      <c r="G176" s="22"/>
      <c r="H176" s="22"/>
    </row>
    <row r="177">
      <c r="A177" s="11"/>
      <c r="B177" s="12"/>
      <c r="C177" s="11"/>
      <c r="D177" s="24"/>
      <c r="E177" s="25"/>
      <c r="F177" s="25"/>
      <c r="G177" s="25"/>
      <c r="H177" s="25"/>
    </row>
    <row r="178">
      <c r="A178" s="6"/>
      <c r="B178" s="7"/>
      <c r="C178" s="6"/>
      <c r="D178" s="21"/>
      <c r="E178" s="22"/>
      <c r="F178" s="22"/>
      <c r="G178" s="22"/>
      <c r="H178" s="22"/>
    </row>
    <row r="179">
      <c r="A179" s="11"/>
      <c r="B179" s="12"/>
      <c r="C179" s="11"/>
      <c r="D179" s="24"/>
      <c r="E179" s="25"/>
      <c r="F179" s="25"/>
      <c r="G179" s="25"/>
      <c r="H179" s="25"/>
    </row>
    <row r="180">
      <c r="A180" s="6"/>
      <c r="B180" s="7"/>
      <c r="C180" s="6"/>
      <c r="D180" s="21"/>
      <c r="E180" s="22"/>
      <c r="F180" s="22"/>
      <c r="G180" s="22"/>
      <c r="H180" s="22"/>
    </row>
    <row r="181">
      <c r="A181" s="11"/>
      <c r="B181" s="12"/>
      <c r="C181" s="11"/>
      <c r="D181" s="24"/>
      <c r="E181" s="25"/>
      <c r="F181" s="25"/>
      <c r="G181" s="25"/>
      <c r="H181" s="25"/>
    </row>
    <row r="182">
      <c r="A182" s="6"/>
      <c r="B182" s="7"/>
      <c r="C182" s="6"/>
      <c r="D182" s="21"/>
      <c r="E182" s="22"/>
      <c r="F182" s="22"/>
      <c r="G182" s="22"/>
      <c r="H182" s="22"/>
    </row>
    <row r="183">
      <c r="A183" s="11"/>
      <c r="B183" s="12"/>
      <c r="C183" s="11"/>
      <c r="D183" s="24"/>
      <c r="E183" s="25"/>
      <c r="F183" s="25"/>
      <c r="G183" s="25"/>
      <c r="H183" s="25"/>
    </row>
    <row r="184">
      <c r="A184" s="6"/>
      <c r="B184" s="7"/>
      <c r="C184" s="6"/>
      <c r="D184" s="21"/>
      <c r="E184" s="22"/>
      <c r="F184" s="22"/>
      <c r="G184" s="22"/>
      <c r="H184" s="22"/>
    </row>
    <row r="185">
      <c r="A185" s="11"/>
      <c r="B185" s="12"/>
      <c r="C185" s="11"/>
      <c r="D185" s="24"/>
      <c r="E185" s="25"/>
      <c r="F185" s="25"/>
      <c r="G185" s="25"/>
      <c r="H185" s="25"/>
    </row>
    <row r="186">
      <c r="A186" s="6"/>
      <c r="B186" s="7"/>
      <c r="C186" s="6"/>
      <c r="D186" s="21"/>
      <c r="E186" s="22"/>
      <c r="F186" s="22"/>
      <c r="G186" s="22"/>
      <c r="H186" s="22"/>
    </row>
    <row r="187">
      <c r="A187" s="11"/>
      <c r="B187" s="12"/>
      <c r="C187" s="11"/>
      <c r="D187" s="24"/>
      <c r="E187" s="25"/>
      <c r="F187" s="25"/>
      <c r="G187" s="25"/>
      <c r="H187" s="25"/>
    </row>
    <row r="188">
      <c r="A188" s="6"/>
      <c r="B188" s="7"/>
      <c r="C188" s="6"/>
      <c r="D188" s="21"/>
      <c r="E188" s="22"/>
      <c r="F188" s="22"/>
      <c r="G188" s="22"/>
      <c r="H188" s="22"/>
    </row>
    <row r="189">
      <c r="A189" s="11"/>
      <c r="B189" s="12"/>
      <c r="C189" s="11"/>
      <c r="D189" s="24"/>
      <c r="E189" s="25"/>
      <c r="F189" s="25"/>
      <c r="G189" s="25"/>
      <c r="H189" s="25"/>
    </row>
    <row r="190">
      <c r="A190" s="6"/>
      <c r="B190" s="7"/>
      <c r="C190" s="6"/>
      <c r="D190" s="21"/>
      <c r="E190" s="22"/>
      <c r="F190" s="22"/>
      <c r="G190" s="22"/>
      <c r="H190" s="22"/>
    </row>
    <row r="191">
      <c r="A191" s="11"/>
      <c r="B191" s="12"/>
      <c r="C191" s="11"/>
      <c r="D191" s="24"/>
      <c r="E191" s="25"/>
      <c r="F191" s="25"/>
      <c r="G191" s="25"/>
      <c r="H191" s="25"/>
    </row>
    <row r="192">
      <c r="A192" s="6"/>
      <c r="B192" s="7"/>
      <c r="C192" s="6"/>
      <c r="D192" s="21"/>
      <c r="E192" s="22"/>
      <c r="F192" s="22"/>
      <c r="G192" s="22"/>
      <c r="H192" s="22"/>
    </row>
    <row r="193">
      <c r="A193" s="11"/>
      <c r="B193" s="12"/>
      <c r="C193" s="11"/>
      <c r="D193" s="24"/>
      <c r="E193" s="25"/>
      <c r="F193" s="25"/>
      <c r="G193" s="25"/>
      <c r="H193" s="25"/>
    </row>
    <row r="194">
      <c r="A194" s="6"/>
      <c r="B194" s="7"/>
      <c r="C194" s="6"/>
      <c r="D194" s="21"/>
      <c r="E194" s="22"/>
      <c r="F194" s="22"/>
      <c r="G194" s="22"/>
      <c r="H194" s="22"/>
    </row>
    <row r="195">
      <c r="A195" s="11"/>
      <c r="B195" s="12"/>
      <c r="C195" s="11"/>
      <c r="D195" s="24"/>
      <c r="E195" s="25"/>
      <c r="F195" s="25"/>
      <c r="G195" s="25"/>
      <c r="H195" s="25"/>
    </row>
    <row r="196">
      <c r="A196" s="6"/>
      <c r="B196" s="7"/>
      <c r="C196" s="6"/>
      <c r="D196" s="21"/>
      <c r="E196" s="22"/>
      <c r="F196" s="22"/>
      <c r="G196" s="22"/>
      <c r="H196" s="22"/>
    </row>
    <row r="197">
      <c r="A197" s="11"/>
      <c r="B197" s="12"/>
      <c r="C197" s="11"/>
      <c r="D197" s="24"/>
      <c r="E197" s="25"/>
      <c r="F197" s="25"/>
      <c r="G197" s="25"/>
      <c r="H197" s="25"/>
    </row>
    <row r="198">
      <c r="A198" s="6"/>
      <c r="B198" s="7"/>
      <c r="C198" s="6"/>
      <c r="D198" s="21"/>
      <c r="E198" s="22"/>
      <c r="F198" s="22"/>
      <c r="G198" s="22"/>
      <c r="H198" s="22"/>
    </row>
    <row r="199">
      <c r="A199" s="11"/>
      <c r="B199" s="12"/>
      <c r="C199" s="11"/>
      <c r="D199" s="24"/>
      <c r="E199" s="25"/>
      <c r="F199" s="25"/>
      <c r="G199" s="25"/>
      <c r="H199" s="25"/>
    </row>
    <row r="200">
      <c r="A200" s="6"/>
      <c r="B200" s="7"/>
      <c r="C200" s="6"/>
      <c r="D200" s="21"/>
      <c r="E200" s="22"/>
      <c r="F200" s="22"/>
      <c r="G200" s="22"/>
      <c r="H200" s="22"/>
    </row>
    <row r="201">
      <c r="A201" s="11"/>
      <c r="B201" s="12"/>
      <c r="C201" s="11"/>
      <c r="D201" s="24"/>
      <c r="E201" s="25"/>
      <c r="F201" s="25"/>
      <c r="G201" s="25"/>
      <c r="H201" s="25"/>
    </row>
    <row r="202">
      <c r="A202" s="6"/>
      <c r="B202" s="7"/>
      <c r="C202" s="6"/>
      <c r="D202" s="21"/>
      <c r="E202" s="22"/>
      <c r="F202" s="22"/>
      <c r="G202" s="22"/>
      <c r="H202" s="22"/>
    </row>
    <row r="203">
      <c r="A203" s="11"/>
      <c r="B203" s="12"/>
      <c r="C203" s="11"/>
      <c r="D203" s="24"/>
      <c r="E203" s="25"/>
      <c r="F203" s="25"/>
      <c r="G203" s="25"/>
      <c r="H203" s="25"/>
    </row>
    <row r="204">
      <c r="A204" s="6"/>
      <c r="B204" s="7"/>
      <c r="C204" s="6"/>
      <c r="D204" s="21"/>
      <c r="E204" s="22"/>
      <c r="F204" s="22"/>
      <c r="G204" s="22"/>
      <c r="H204" s="22"/>
    </row>
    <row r="205">
      <c r="A205" s="11"/>
      <c r="B205" s="12"/>
      <c r="C205" s="11"/>
      <c r="D205" s="24"/>
      <c r="E205" s="25"/>
      <c r="F205" s="25"/>
      <c r="G205" s="25"/>
      <c r="H205" s="25"/>
    </row>
    <row r="206">
      <c r="A206" s="6"/>
      <c r="B206" s="7"/>
      <c r="C206" s="6"/>
      <c r="D206" s="21"/>
      <c r="E206" s="22"/>
      <c r="F206" s="22"/>
      <c r="G206" s="22"/>
      <c r="H206" s="22"/>
    </row>
    <row r="207">
      <c r="A207" s="11"/>
      <c r="B207" s="12"/>
      <c r="C207" s="11"/>
      <c r="D207" s="24"/>
      <c r="E207" s="25"/>
      <c r="F207" s="25"/>
      <c r="G207" s="25"/>
      <c r="H207" s="25"/>
    </row>
    <row r="208">
      <c r="A208" s="6"/>
      <c r="B208" s="7"/>
      <c r="C208" s="6"/>
      <c r="D208" s="21"/>
      <c r="E208" s="22"/>
      <c r="F208" s="22"/>
      <c r="G208" s="22"/>
      <c r="H208" s="22"/>
    </row>
    <row r="209">
      <c r="A209" s="11"/>
      <c r="B209" s="12"/>
      <c r="C209" s="11"/>
      <c r="D209" s="24"/>
      <c r="E209" s="25"/>
      <c r="F209" s="25"/>
      <c r="G209" s="25"/>
      <c r="H209" s="25"/>
    </row>
    <row r="210">
      <c r="A210" s="6"/>
      <c r="B210" s="7"/>
      <c r="C210" s="6"/>
      <c r="D210" s="21"/>
      <c r="E210" s="22"/>
      <c r="F210" s="22"/>
      <c r="G210" s="22"/>
      <c r="H210" s="22"/>
    </row>
    <row r="211">
      <c r="A211" s="11"/>
      <c r="B211" s="12"/>
      <c r="C211" s="11"/>
      <c r="D211" s="24"/>
      <c r="E211" s="25"/>
      <c r="F211" s="25"/>
      <c r="G211" s="25"/>
      <c r="H211" s="25"/>
    </row>
    <row r="212">
      <c r="A212" s="6"/>
      <c r="B212" s="7"/>
      <c r="C212" s="6"/>
      <c r="D212" s="21"/>
      <c r="E212" s="22"/>
      <c r="F212" s="22"/>
      <c r="G212" s="22"/>
      <c r="H212" s="22"/>
    </row>
    <row r="213">
      <c r="A213" s="11"/>
      <c r="B213" s="12"/>
      <c r="C213" s="11"/>
      <c r="D213" s="24"/>
      <c r="E213" s="25"/>
      <c r="F213" s="25"/>
      <c r="G213" s="25"/>
      <c r="H213" s="25"/>
    </row>
    <row r="214">
      <c r="A214" s="6"/>
      <c r="B214" s="7"/>
      <c r="C214" s="6"/>
      <c r="D214" s="21"/>
      <c r="E214" s="22"/>
      <c r="F214" s="22"/>
      <c r="G214" s="22"/>
      <c r="H214" s="22"/>
    </row>
    <row r="215">
      <c r="A215" s="11"/>
      <c r="B215" s="12"/>
      <c r="C215" s="11"/>
      <c r="D215" s="24"/>
      <c r="E215" s="25"/>
      <c r="F215" s="25"/>
      <c r="G215" s="25"/>
      <c r="H215" s="25"/>
    </row>
    <row r="216">
      <c r="A216" s="6"/>
      <c r="B216" s="7"/>
      <c r="C216" s="6"/>
      <c r="D216" s="21"/>
      <c r="E216" s="22"/>
      <c r="F216" s="22"/>
      <c r="G216" s="22"/>
      <c r="H216" s="22"/>
    </row>
    <row r="217">
      <c r="A217" s="11"/>
      <c r="B217" s="12"/>
      <c r="C217" s="11"/>
      <c r="D217" s="24"/>
      <c r="E217" s="25"/>
      <c r="F217" s="25"/>
      <c r="G217" s="25"/>
      <c r="H217" s="25"/>
    </row>
    <row r="218">
      <c r="A218" s="6"/>
      <c r="B218" s="7"/>
      <c r="C218" s="6"/>
      <c r="D218" s="21"/>
      <c r="E218" s="22"/>
      <c r="F218" s="22"/>
      <c r="G218" s="22"/>
      <c r="H218" s="22"/>
    </row>
    <row r="219">
      <c r="A219" s="11"/>
      <c r="B219" s="12"/>
      <c r="C219" s="11"/>
      <c r="D219" s="24"/>
      <c r="E219" s="25"/>
      <c r="F219" s="25"/>
      <c r="G219" s="25"/>
      <c r="H219" s="25"/>
    </row>
    <row r="220">
      <c r="A220" s="6"/>
      <c r="B220" s="7"/>
      <c r="C220" s="6"/>
      <c r="D220" s="21"/>
      <c r="E220" s="22"/>
      <c r="F220" s="22"/>
      <c r="G220" s="22"/>
      <c r="H220" s="22"/>
    </row>
    <row r="221">
      <c r="A221" s="11"/>
      <c r="B221" s="12"/>
      <c r="C221" s="11"/>
      <c r="D221" s="24"/>
      <c r="E221" s="25"/>
      <c r="F221" s="25"/>
      <c r="G221" s="25"/>
      <c r="H221" s="25"/>
    </row>
    <row r="222">
      <c r="A222" s="6"/>
      <c r="B222" s="7"/>
      <c r="C222" s="6"/>
      <c r="D222" s="21"/>
      <c r="E222" s="22"/>
      <c r="F222" s="22"/>
      <c r="G222" s="22"/>
      <c r="H222" s="22"/>
    </row>
    <row r="223">
      <c r="A223" s="11"/>
      <c r="B223" s="12"/>
      <c r="C223" s="11"/>
      <c r="D223" s="24"/>
      <c r="E223" s="25"/>
      <c r="F223" s="25"/>
      <c r="G223" s="25"/>
      <c r="H223" s="25"/>
    </row>
    <row r="224">
      <c r="A224" s="6"/>
      <c r="B224" s="7"/>
      <c r="C224" s="6"/>
      <c r="D224" s="21"/>
      <c r="E224" s="22"/>
      <c r="F224" s="22"/>
      <c r="G224" s="22"/>
      <c r="H224" s="22"/>
    </row>
    <row r="225">
      <c r="A225" s="11"/>
      <c r="B225" s="12"/>
      <c r="C225" s="11"/>
      <c r="D225" s="24"/>
      <c r="E225" s="25"/>
      <c r="F225" s="25"/>
      <c r="G225" s="25"/>
      <c r="H225" s="25"/>
    </row>
    <row r="226">
      <c r="A226" s="6"/>
      <c r="B226" s="7"/>
      <c r="C226" s="6"/>
      <c r="D226" s="21"/>
      <c r="E226" s="22"/>
      <c r="F226" s="22"/>
      <c r="G226" s="22"/>
      <c r="H226" s="22"/>
    </row>
    <row r="227">
      <c r="A227" s="11"/>
      <c r="B227" s="12"/>
      <c r="C227" s="11"/>
      <c r="D227" s="24"/>
      <c r="E227" s="25"/>
      <c r="F227" s="25"/>
      <c r="G227" s="25"/>
      <c r="H227" s="25"/>
    </row>
    <row r="228">
      <c r="A228" s="6"/>
      <c r="B228" s="7"/>
      <c r="C228" s="6"/>
      <c r="D228" s="21"/>
      <c r="E228" s="22"/>
      <c r="F228" s="22"/>
      <c r="G228" s="22"/>
      <c r="H228" s="22"/>
    </row>
    <row r="229">
      <c r="A229" s="11"/>
      <c r="B229" s="12"/>
      <c r="C229" s="11"/>
      <c r="D229" s="24"/>
      <c r="E229" s="25"/>
      <c r="F229" s="25"/>
      <c r="G229" s="25"/>
      <c r="H229" s="25"/>
    </row>
    <row r="230">
      <c r="A230" s="6"/>
      <c r="B230" s="7"/>
      <c r="C230" s="6"/>
      <c r="D230" s="21"/>
      <c r="E230" s="22"/>
      <c r="F230" s="22"/>
      <c r="G230" s="22"/>
      <c r="H230" s="22"/>
    </row>
    <row r="231">
      <c r="A231" s="11"/>
      <c r="B231" s="12"/>
      <c r="C231" s="11"/>
      <c r="D231" s="24"/>
      <c r="E231" s="25"/>
      <c r="F231" s="25"/>
      <c r="G231" s="25"/>
      <c r="H231" s="25"/>
    </row>
    <row r="232">
      <c r="A232" s="6"/>
      <c r="B232" s="7"/>
      <c r="C232" s="6"/>
      <c r="D232" s="21"/>
      <c r="E232" s="22"/>
      <c r="F232" s="22"/>
      <c r="G232" s="22"/>
      <c r="H232" s="22"/>
    </row>
    <row r="233">
      <c r="A233" s="11"/>
      <c r="B233" s="12"/>
      <c r="C233" s="11"/>
      <c r="D233" s="24"/>
      <c r="E233" s="25"/>
      <c r="F233" s="25"/>
      <c r="G233" s="25"/>
      <c r="H233" s="25"/>
    </row>
    <row r="234">
      <c r="A234" s="6"/>
      <c r="B234" s="7"/>
      <c r="C234" s="6"/>
      <c r="D234" s="21"/>
      <c r="E234" s="22"/>
      <c r="F234" s="22"/>
      <c r="G234" s="22"/>
      <c r="H234" s="22"/>
    </row>
    <row r="235">
      <c r="A235" s="11"/>
      <c r="B235" s="11"/>
      <c r="C235" s="11"/>
      <c r="D235" s="24"/>
      <c r="E235" s="25"/>
      <c r="F235" s="25"/>
      <c r="G235" s="25"/>
      <c r="H235" s="25"/>
    </row>
    <row r="236">
      <c r="A236" s="6"/>
      <c r="B236" s="6"/>
      <c r="C236" s="6"/>
      <c r="D236" s="21"/>
      <c r="E236" s="22"/>
      <c r="F236" s="22"/>
      <c r="G236" s="22"/>
      <c r="H236" s="22"/>
    </row>
    <row r="237">
      <c r="A237" s="11"/>
      <c r="B237" s="11"/>
      <c r="C237" s="11"/>
      <c r="D237" s="24"/>
      <c r="E237" s="25"/>
      <c r="F237" s="25"/>
      <c r="G237" s="25"/>
      <c r="H237" s="25"/>
    </row>
    <row r="238">
      <c r="A238" s="6"/>
      <c r="B238" s="6"/>
      <c r="C238" s="6"/>
      <c r="D238" s="21"/>
      <c r="E238" s="22"/>
      <c r="F238" s="22"/>
      <c r="G238" s="22"/>
      <c r="H238" s="22"/>
    </row>
    <row r="239">
      <c r="A239" s="11"/>
      <c r="B239" s="11"/>
      <c r="C239" s="11"/>
      <c r="D239" s="24"/>
      <c r="E239" s="25"/>
      <c r="F239" s="25"/>
      <c r="G239" s="25"/>
      <c r="H239" s="25"/>
    </row>
    <row r="240">
      <c r="A240" s="6"/>
      <c r="B240" s="6"/>
      <c r="C240" s="6"/>
      <c r="D240" s="21"/>
      <c r="E240" s="22"/>
      <c r="F240" s="22"/>
      <c r="G240" s="22"/>
      <c r="H240" s="22"/>
    </row>
    <row r="241">
      <c r="A241" s="11"/>
      <c r="B241" s="11"/>
      <c r="C241" s="11"/>
      <c r="D241" s="24"/>
      <c r="E241" s="25"/>
      <c r="F241" s="25"/>
      <c r="G241" s="25"/>
      <c r="H241" s="25"/>
    </row>
    <row r="242">
      <c r="A242" s="6"/>
      <c r="B242" s="6"/>
      <c r="C242" s="6"/>
      <c r="D242" s="21"/>
      <c r="E242" s="22"/>
      <c r="F242" s="22"/>
      <c r="G242" s="22"/>
      <c r="H242" s="22"/>
    </row>
    <row r="243">
      <c r="A243" s="11"/>
      <c r="B243" s="11"/>
      <c r="C243" s="11"/>
      <c r="D243" s="24"/>
      <c r="E243" s="25"/>
      <c r="F243" s="25"/>
      <c r="G243" s="25"/>
      <c r="H243" s="25"/>
    </row>
    <row r="244">
      <c r="A244" s="6"/>
      <c r="B244" s="6"/>
      <c r="C244" s="6"/>
      <c r="D244" s="21"/>
      <c r="E244" s="22"/>
      <c r="F244" s="22"/>
      <c r="G244" s="22"/>
      <c r="H244" s="22"/>
    </row>
    <row r="245">
      <c r="A245" s="11"/>
      <c r="B245" s="11"/>
      <c r="C245" s="11"/>
      <c r="D245" s="24"/>
      <c r="E245" s="25"/>
      <c r="F245" s="25"/>
      <c r="G245" s="25"/>
      <c r="H245" s="25"/>
    </row>
    <row r="246">
      <c r="A246" s="6"/>
      <c r="B246" s="6"/>
      <c r="C246" s="6"/>
      <c r="D246" s="21"/>
      <c r="E246" s="22"/>
      <c r="F246" s="22"/>
      <c r="G246" s="22"/>
      <c r="H246" s="22"/>
    </row>
    <row r="247">
      <c r="A247" s="11"/>
      <c r="B247" s="11"/>
      <c r="C247" s="11"/>
      <c r="D247" s="24"/>
      <c r="E247" s="25"/>
      <c r="F247" s="25"/>
      <c r="G247" s="25"/>
      <c r="H247" s="25"/>
    </row>
    <row r="248">
      <c r="A248" s="6"/>
      <c r="B248" s="6"/>
      <c r="C248" s="6"/>
      <c r="D248" s="21"/>
      <c r="E248" s="22"/>
      <c r="F248" s="22"/>
      <c r="G248" s="22"/>
      <c r="H248" s="22"/>
    </row>
    <row r="249">
      <c r="A249" s="11"/>
      <c r="B249" s="11"/>
      <c r="C249" s="11"/>
      <c r="D249" s="24"/>
      <c r="E249" s="25"/>
      <c r="F249" s="25"/>
      <c r="G249" s="25"/>
      <c r="H249" s="25"/>
    </row>
    <row r="250">
      <c r="A250" s="6"/>
      <c r="B250" s="6"/>
      <c r="C250" s="6"/>
      <c r="D250" s="21"/>
      <c r="E250" s="22"/>
      <c r="F250" s="22"/>
      <c r="G250" s="22"/>
      <c r="H250" s="22"/>
    </row>
    <row r="251">
      <c r="A251" s="11"/>
      <c r="B251" s="11"/>
      <c r="C251" s="11"/>
      <c r="D251" s="24"/>
      <c r="E251" s="25"/>
      <c r="F251" s="25"/>
      <c r="G251" s="25"/>
      <c r="H251" s="25"/>
    </row>
    <row r="252">
      <c r="A252" s="6"/>
      <c r="B252" s="6"/>
      <c r="C252" s="6"/>
      <c r="D252" s="21"/>
      <c r="E252" s="22"/>
      <c r="F252" s="22"/>
      <c r="G252" s="22"/>
      <c r="H252" s="22"/>
    </row>
    <row r="253">
      <c r="A253" s="11"/>
      <c r="B253" s="11"/>
      <c r="C253" s="11"/>
      <c r="D253" s="24"/>
      <c r="E253" s="25"/>
      <c r="F253" s="25"/>
      <c r="G253" s="25"/>
      <c r="H253" s="25"/>
    </row>
    <row r="254">
      <c r="A254" s="6"/>
      <c r="B254" s="6"/>
      <c r="C254" s="6"/>
      <c r="D254" s="21"/>
      <c r="E254" s="22"/>
      <c r="F254" s="22"/>
      <c r="G254" s="22"/>
      <c r="H254" s="22"/>
    </row>
    <row r="255">
      <c r="A255" s="11"/>
      <c r="B255" s="11"/>
      <c r="C255" s="11"/>
      <c r="D255" s="24"/>
      <c r="E255" s="25"/>
      <c r="F255" s="25"/>
      <c r="G255" s="25"/>
      <c r="H255" s="25"/>
    </row>
    <row r="256">
      <c r="A256" s="6"/>
      <c r="B256" s="6"/>
      <c r="C256" s="6"/>
      <c r="D256" s="21"/>
      <c r="E256" s="22"/>
      <c r="F256" s="22"/>
      <c r="G256" s="22"/>
      <c r="H256" s="22"/>
    </row>
    <row r="257">
      <c r="A257" s="11"/>
      <c r="B257" s="11"/>
      <c r="C257" s="11"/>
      <c r="D257" s="24"/>
      <c r="E257" s="25"/>
      <c r="F257" s="25"/>
      <c r="G257" s="25"/>
      <c r="H257" s="25"/>
    </row>
    <row r="258">
      <c r="A258" s="6"/>
      <c r="B258" s="6"/>
      <c r="C258" s="6"/>
      <c r="D258" s="21"/>
      <c r="E258" s="22"/>
      <c r="F258" s="22"/>
      <c r="G258" s="22"/>
      <c r="H258" s="22"/>
    </row>
    <row r="259">
      <c r="A259" s="11"/>
      <c r="B259" s="11"/>
      <c r="C259" s="11"/>
      <c r="D259" s="24"/>
      <c r="E259" s="25"/>
      <c r="F259" s="25"/>
      <c r="G259" s="25"/>
      <c r="H259" s="25"/>
    </row>
    <row r="260">
      <c r="A260" s="6"/>
      <c r="B260" s="6"/>
      <c r="C260" s="6"/>
      <c r="D260" s="21"/>
      <c r="E260" s="22"/>
      <c r="F260" s="22"/>
      <c r="G260" s="22"/>
      <c r="H260" s="22"/>
    </row>
    <row r="261">
      <c r="A261" s="11"/>
      <c r="B261" s="11"/>
      <c r="C261" s="11"/>
      <c r="D261" s="24"/>
      <c r="E261" s="25"/>
      <c r="F261" s="25"/>
      <c r="G261" s="25"/>
      <c r="H261" s="25"/>
    </row>
    <row r="262">
      <c r="A262" s="6"/>
      <c r="B262" s="6"/>
      <c r="C262" s="6"/>
      <c r="D262" s="21"/>
      <c r="E262" s="22"/>
      <c r="F262" s="22"/>
      <c r="G262" s="22"/>
      <c r="H262" s="22"/>
    </row>
    <row r="263">
      <c r="A263" s="11"/>
      <c r="B263" s="11"/>
      <c r="C263" s="11"/>
      <c r="D263" s="24"/>
      <c r="E263" s="25"/>
      <c r="F263" s="25"/>
      <c r="G263" s="25"/>
      <c r="H263" s="25"/>
    </row>
    <row r="264">
      <c r="A264" s="6"/>
      <c r="B264" s="6"/>
      <c r="C264" s="6"/>
      <c r="D264" s="21"/>
      <c r="E264" s="22"/>
      <c r="F264" s="22"/>
      <c r="G264" s="22"/>
      <c r="H264" s="22"/>
    </row>
    <row r="265">
      <c r="A265" s="11"/>
      <c r="B265" s="11"/>
      <c r="C265" s="11"/>
      <c r="D265" s="24"/>
      <c r="E265" s="25"/>
      <c r="F265" s="25"/>
      <c r="G265" s="25"/>
      <c r="H265" s="25"/>
    </row>
    <row r="266">
      <c r="A266" s="6"/>
      <c r="B266" s="6"/>
      <c r="C266" s="6"/>
      <c r="D266" s="21"/>
      <c r="E266" s="22"/>
      <c r="F266" s="22"/>
      <c r="G266" s="22"/>
      <c r="H266" s="22"/>
    </row>
    <row r="267">
      <c r="A267" s="11"/>
      <c r="B267" s="11"/>
      <c r="C267" s="11"/>
      <c r="D267" s="24"/>
      <c r="E267" s="25"/>
      <c r="F267" s="25"/>
      <c r="G267" s="25"/>
      <c r="H267" s="25"/>
    </row>
    <row r="268">
      <c r="A268" s="6"/>
      <c r="B268" s="6"/>
      <c r="C268" s="6"/>
      <c r="D268" s="21"/>
      <c r="E268" s="22"/>
      <c r="F268" s="22"/>
      <c r="G268" s="22"/>
      <c r="H268" s="22"/>
    </row>
    <row r="269">
      <c r="A269" s="11"/>
      <c r="B269" s="11"/>
      <c r="C269" s="11"/>
      <c r="D269" s="24"/>
      <c r="E269" s="25"/>
      <c r="F269" s="25"/>
      <c r="G269" s="25"/>
      <c r="H269" s="25"/>
    </row>
    <row r="270">
      <c r="A270" s="6"/>
      <c r="B270" s="6"/>
      <c r="C270" s="6"/>
      <c r="D270" s="21"/>
      <c r="E270" s="22"/>
      <c r="F270" s="22"/>
      <c r="G270" s="22"/>
      <c r="H270" s="22"/>
    </row>
    <row r="271">
      <c r="A271" s="11"/>
      <c r="B271" s="11"/>
      <c r="C271" s="11"/>
      <c r="D271" s="24"/>
      <c r="E271" s="25"/>
      <c r="F271" s="25"/>
      <c r="G271" s="25"/>
      <c r="H271" s="25"/>
    </row>
    <row r="272">
      <c r="A272" s="6"/>
      <c r="B272" s="6"/>
      <c r="C272" s="6"/>
      <c r="D272" s="21"/>
      <c r="E272" s="22"/>
      <c r="F272" s="22"/>
      <c r="G272" s="22"/>
      <c r="H272" s="22"/>
    </row>
    <row r="273">
      <c r="A273" s="11"/>
      <c r="B273" s="11"/>
      <c r="C273" s="11"/>
      <c r="D273" s="24"/>
      <c r="E273" s="25"/>
      <c r="F273" s="25"/>
      <c r="G273" s="25"/>
      <c r="H273" s="25"/>
    </row>
    <row r="274">
      <c r="A274" s="6"/>
      <c r="B274" s="6"/>
      <c r="C274" s="6"/>
      <c r="D274" s="21"/>
      <c r="E274" s="22"/>
      <c r="F274" s="22"/>
      <c r="G274" s="22"/>
      <c r="H274" s="22"/>
    </row>
    <row r="275">
      <c r="A275" s="11"/>
      <c r="B275" s="11"/>
      <c r="C275" s="11"/>
      <c r="D275" s="24"/>
      <c r="E275" s="25"/>
      <c r="F275" s="25"/>
      <c r="G275" s="25"/>
      <c r="H275" s="25"/>
    </row>
    <row r="276">
      <c r="A276" s="6"/>
      <c r="B276" s="6"/>
      <c r="C276" s="6"/>
      <c r="D276" s="21"/>
      <c r="E276" s="22"/>
      <c r="F276" s="22"/>
      <c r="G276" s="22"/>
      <c r="H276" s="22"/>
    </row>
    <row r="277">
      <c r="A277" s="11"/>
      <c r="B277" s="11"/>
      <c r="C277" s="11"/>
      <c r="D277" s="24"/>
      <c r="E277" s="25"/>
      <c r="F277" s="25"/>
      <c r="G277" s="25"/>
      <c r="H277" s="25"/>
    </row>
    <row r="278">
      <c r="A278" s="6"/>
      <c r="B278" s="6"/>
      <c r="C278" s="6"/>
      <c r="D278" s="21"/>
      <c r="E278" s="22"/>
      <c r="F278" s="22"/>
      <c r="G278" s="22"/>
      <c r="H278" s="22"/>
    </row>
    <row r="279">
      <c r="A279" s="11"/>
      <c r="B279" s="11"/>
      <c r="C279" s="11"/>
      <c r="D279" s="24"/>
      <c r="E279" s="25"/>
      <c r="F279" s="25"/>
      <c r="G279" s="25"/>
      <c r="H279" s="25"/>
    </row>
    <row r="280">
      <c r="A280" s="6"/>
      <c r="B280" s="6"/>
      <c r="C280" s="6"/>
      <c r="D280" s="21"/>
      <c r="E280" s="22"/>
      <c r="F280" s="22"/>
      <c r="G280" s="22"/>
      <c r="H280" s="22"/>
    </row>
    <row r="281">
      <c r="A281" s="11"/>
      <c r="B281" s="11"/>
      <c r="C281" s="11"/>
      <c r="D281" s="24"/>
      <c r="E281" s="25"/>
      <c r="F281" s="25"/>
      <c r="G281" s="25"/>
      <c r="H281" s="25"/>
    </row>
    <row r="282">
      <c r="A282" s="6"/>
      <c r="B282" s="6"/>
      <c r="C282" s="6"/>
      <c r="D282" s="21"/>
      <c r="E282" s="22"/>
      <c r="F282" s="22"/>
      <c r="G282" s="22"/>
      <c r="H282" s="22"/>
    </row>
    <row r="283">
      <c r="A283" s="11"/>
      <c r="B283" s="11"/>
      <c r="C283" s="11"/>
      <c r="D283" s="24"/>
      <c r="E283" s="25"/>
      <c r="F283" s="25"/>
      <c r="G283" s="25"/>
      <c r="H283" s="25"/>
    </row>
    <row r="284">
      <c r="A284" s="6"/>
      <c r="B284" s="6"/>
      <c r="C284" s="6"/>
      <c r="D284" s="21"/>
      <c r="E284" s="22"/>
      <c r="F284" s="22"/>
      <c r="G284" s="22"/>
      <c r="H284" s="22"/>
    </row>
    <row r="285">
      <c r="A285" s="11"/>
      <c r="B285" s="11"/>
      <c r="C285" s="11"/>
      <c r="D285" s="24"/>
      <c r="E285" s="25"/>
      <c r="F285" s="25"/>
      <c r="G285" s="25"/>
      <c r="H285" s="25"/>
    </row>
    <row r="286">
      <c r="A286" s="6"/>
      <c r="B286" s="6"/>
      <c r="C286" s="6"/>
      <c r="D286" s="21"/>
      <c r="E286" s="22"/>
      <c r="F286" s="22"/>
      <c r="G286" s="22"/>
      <c r="H286" s="22"/>
    </row>
    <row r="287">
      <c r="A287" s="11"/>
      <c r="B287" s="11"/>
      <c r="C287" s="11"/>
      <c r="D287" s="24"/>
      <c r="E287" s="25"/>
      <c r="F287" s="25"/>
      <c r="G287" s="25"/>
      <c r="H287" s="25"/>
    </row>
    <row r="288">
      <c r="A288" s="6"/>
      <c r="B288" s="6"/>
      <c r="C288" s="6"/>
      <c r="D288" s="21"/>
      <c r="E288" s="22"/>
      <c r="F288" s="22"/>
      <c r="G288" s="22"/>
      <c r="H288" s="22"/>
    </row>
    <row r="289">
      <c r="A289" s="11"/>
      <c r="B289" s="11"/>
      <c r="C289" s="11"/>
      <c r="D289" s="24"/>
      <c r="E289" s="25"/>
      <c r="F289" s="25"/>
      <c r="G289" s="25"/>
      <c r="H289" s="25"/>
    </row>
    <row r="290">
      <c r="A290" s="6"/>
      <c r="B290" s="6"/>
      <c r="C290" s="6"/>
      <c r="D290" s="21"/>
      <c r="E290" s="22"/>
      <c r="F290" s="22"/>
      <c r="G290" s="22"/>
      <c r="H290" s="22"/>
    </row>
    <row r="291">
      <c r="A291" s="11"/>
      <c r="B291" s="11"/>
      <c r="C291" s="11"/>
      <c r="D291" s="24"/>
      <c r="E291" s="25"/>
      <c r="F291" s="25"/>
      <c r="G291" s="25"/>
      <c r="H291" s="25"/>
    </row>
    <row r="292">
      <c r="A292" s="6"/>
      <c r="B292" s="6"/>
      <c r="C292" s="6"/>
      <c r="D292" s="21"/>
      <c r="E292" s="22"/>
      <c r="F292" s="22"/>
      <c r="G292" s="22"/>
      <c r="H292" s="22"/>
    </row>
    <row r="293">
      <c r="A293" s="11"/>
      <c r="B293" s="11"/>
      <c r="C293" s="11"/>
      <c r="D293" s="24"/>
      <c r="E293" s="25"/>
      <c r="F293" s="25"/>
      <c r="G293" s="25"/>
      <c r="H293" s="25"/>
    </row>
    <row r="294">
      <c r="A294" s="6"/>
      <c r="B294" s="6"/>
      <c r="C294" s="6"/>
      <c r="D294" s="21"/>
      <c r="E294" s="22"/>
      <c r="F294" s="22"/>
      <c r="G294" s="22"/>
      <c r="H294" s="22"/>
    </row>
    <row r="295">
      <c r="A295" s="11"/>
      <c r="B295" s="11"/>
      <c r="C295" s="11"/>
      <c r="D295" s="24"/>
      <c r="E295" s="25"/>
      <c r="F295" s="25"/>
      <c r="G295" s="25"/>
      <c r="H295" s="25"/>
    </row>
    <row r="296">
      <c r="A296" s="6"/>
      <c r="B296" s="6"/>
      <c r="C296" s="6"/>
      <c r="D296" s="21"/>
      <c r="E296" s="22"/>
      <c r="F296" s="22"/>
      <c r="G296" s="22"/>
      <c r="H296" s="22"/>
    </row>
    <row r="297">
      <c r="A297" s="11"/>
      <c r="B297" s="11"/>
      <c r="C297" s="11"/>
      <c r="D297" s="24"/>
      <c r="E297" s="25"/>
      <c r="F297" s="25"/>
      <c r="G297" s="25"/>
      <c r="H297" s="25"/>
    </row>
    <row r="298">
      <c r="A298" s="6"/>
      <c r="B298" s="6"/>
      <c r="C298" s="6"/>
      <c r="D298" s="21"/>
      <c r="E298" s="22"/>
      <c r="F298" s="22"/>
      <c r="G298" s="22"/>
      <c r="H298" s="22"/>
    </row>
    <row r="299">
      <c r="A299" s="11"/>
      <c r="B299" s="11"/>
      <c r="C299" s="11"/>
      <c r="D299" s="24"/>
      <c r="E299" s="25"/>
      <c r="F299" s="25"/>
      <c r="G299" s="25"/>
      <c r="H299" s="25"/>
    </row>
    <row r="300">
      <c r="A300" s="6"/>
      <c r="B300" s="6"/>
      <c r="C300" s="6"/>
      <c r="D300" s="21"/>
      <c r="E300" s="22"/>
      <c r="F300" s="22"/>
      <c r="G300" s="22"/>
      <c r="H300" s="22"/>
    </row>
    <row r="301">
      <c r="A301" s="11"/>
      <c r="B301" s="11"/>
      <c r="C301" s="11"/>
      <c r="D301" s="24"/>
      <c r="E301" s="25"/>
      <c r="F301" s="25"/>
      <c r="G301" s="25"/>
      <c r="H301" s="25"/>
    </row>
    <row r="302">
      <c r="A302" s="6"/>
      <c r="B302" s="6"/>
      <c r="C302" s="6"/>
      <c r="D302" s="21"/>
      <c r="E302" s="22"/>
      <c r="F302" s="22"/>
      <c r="G302" s="22"/>
      <c r="H302" s="22"/>
    </row>
    <row r="303">
      <c r="A303" s="11"/>
      <c r="B303" s="11"/>
      <c r="C303" s="11"/>
      <c r="D303" s="24"/>
      <c r="E303" s="25"/>
      <c r="F303" s="25"/>
      <c r="G303" s="25"/>
      <c r="H303" s="25"/>
    </row>
    <row r="304">
      <c r="A304" s="6"/>
      <c r="B304" s="6"/>
      <c r="C304" s="6"/>
      <c r="D304" s="21"/>
      <c r="E304" s="22"/>
      <c r="F304" s="22"/>
      <c r="G304" s="22"/>
      <c r="H304" s="22"/>
    </row>
    <row r="305">
      <c r="A305" s="11"/>
      <c r="B305" s="11"/>
      <c r="C305" s="11"/>
      <c r="D305" s="24"/>
      <c r="E305" s="25"/>
      <c r="F305" s="25"/>
      <c r="G305" s="25"/>
      <c r="H305" s="25"/>
    </row>
    <row r="306">
      <c r="A306" s="6"/>
      <c r="B306" s="6"/>
      <c r="C306" s="6"/>
      <c r="D306" s="21"/>
      <c r="E306" s="22"/>
      <c r="F306" s="22"/>
      <c r="G306" s="22"/>
      <c r="H306" s="22"/>
    </row>
    <row r="307">
      <c r="A307" s="11"/>
      <c r="B307" s="11"/>
      <c r="C307" s="11"/>
      <c r="D307" s="24"/>
      <c r="E307" s="25"/>
      <c r="F307" s="25"/>
      <c r="G307" s="25"/>
      <c r="H307" s="25"/>
    </row>
    <row r="308">
      <c r="A308" s="6"/>
      <c r="B308" s="6"/>
      <c r="C308" s="6"/>
      <c r="D308" s="21"/>
      <c r="E308" s="22"/>
      <c r="F308" s="22"/>
      <c r="G308" s="22"/>
      <c r="H308" s="22"/>
    </row>
    <row r="309">
      <c r="A309" s="11"/>
      <c r="B309" s="11"/>
      <c r="C309" s="11"/>
      <c r="D309" s="24"/>
      <c r="E309" s="25"/>
      <c r="F309" s="25"/>
      <c r="G309" s="25"/>
      <c r="H309" s="25"/>
    </row>
    <row r="310">
      <c r="A310" s="6"/>
      <c r="B310" s="6"/>
      <c r="C310" s="6"/>
      <c r="D310" s="21"/>
      <c r="E310" s="22"/>
      <c r="F310" s="22"/>
      <c r="G310" s="22"/>
      <c r="H310" s="22"/>
    </row>
    <row r="311">
      <c r="A311" s="11"/>
      <c r="B311" s="11"/>
      <c r="C311" s="11"/>
      <c r="D311" s="24"/>
      <c r="E311" s="25"/>
      <c r="F311" s="25"/>
      <c r="G311" s="25"/>
      <c r="H311" s="25"/>
    </row>
    <row r="312">
      <c r="A312" s="6"/>
      <c r="B312" s="6"/>
      <c r="C312" s="6"/>
      <c r="D312" s="21"/>
      <c r="E312" s="22"/>
      <c r="F312" s="22"/>
      <c r="G312" s="22"/>
      <c r="H312" s="22"/>
    </row>
    <row r="313">
      <c r="A313" s="11"/>
      <c r="B313" s="11"/>
      <c r="C313" s="11"/>
      <c r="D313" s="24"/>
      <c r="E313" s="25"/>
      <c r="F313" s="25"/>
      <c r="G313" s="25"/>
      <c r="H313" s="25"/>
    </row>
    <row r="314">
      <c r="A314" s="6"/>
      <c r="B314" s="6"/>
      <c r="C314" s="6"/>
      <c r="D314" s="21"/>
      <c r="E314" s="22"/>
      <c r="F314" s="22"/>
      <c r="G314" s="22"/>
      <c r="H314" s="22"/>
    </row>
    <row r="315">
      <c r="A315" s="11"/>
      <c r="B315" s="11"/>
      <c r="C315" s="11"/>
      <c r="D315" s="24"/>
      <c r="E315" s="25"/>
      <c r="F315" s="25"/>
      <c r="G315" s="25"/>
      <c r="H315" s="25"/>
    </row>
    <row r="316">
      <c r="A316" s="6"/>
      <c r="B316" s="6"/>
      <c r="C316" s="6"/>
      <c r="D316" s="21"/>
      <c r="E316" s="22"/>
      <c r="F316" s="22"/>
      <c r="G316" s="22"/>
      <c r="H316" s="22"/>
    </row>
    <row r="317">
      <c r="A317" s="11"/>
      <c r="B317" s="11"/>
      <c r="C317" s="11"/>
      <c r="D317" s="24"/>
      <c r="E317" s="25"/>
      <c r="F317" s="25"/>
      <c r="G317" s="25"/>
      <c r="H317" s="25"/>
    </row>
    <row r="318">
      <c r="A318" s="6"/>
      <c r="B318" s="6"/>
      <c r="C318" s="6"/>
      <c r="D318" s="21"/>
      <c r="E318" s="22"/>
      <c r="F318" s="22"/>
      <c r="G318" s="22"/>
      <c r="H318" s="22"/>
    </row>
    <row r="319">
      <c r="A319" s="11"/>
      <c r="B319" s="11"/>
      <c r="C319" s="11"/>
      <c r="D319" s="24"/>
      <c r="E319" s="25"/>
      <c r="F319" s="25"/>
      <c r="G319" s="25"/>
      <c r="H319" s="25"/>
    </row>
    <row r="320">
      <c r="A320" s="6"/>
      <c r="B320" s="6"/>
      <c r="C320" s="6"/>
      <c r="D320" s="21"/>
      <c r="E320" s="22"/>
      <c r="F320" s="22"/>
      <c r="G320" s="22"/>
      <c r="H320" s="22"/>
    </row>
    <row r="321">
      <c r="A321" s="11"/>
      <c r="B321" s="11"/>
      <c r="C321" s="11"/>
      <c r="D321" s="24"/>
      <c r="E321" s="25"/>
      <c r="F321" s="25"/>
      <c r="G321" s="25"/>
      <c r="H321" s="25"/>
    </row>
    <row r="322">
      <c r="A322" s="6"/>
      <c r="B322" s="6"/>
      <c r="C322" s="6"/>
      <c r="D322" s="21"/>
      <c r="E322" s="22"/>
      <c r="F322" s="22"/>
      <c r="G322" s="22"/>
      <c r="H322" s="22"/>
    </row>
    <row r="323">
      <c r="A323" s="11"/>
      <c r="B323" s="11"/>
      <c r="C323" s="11"/>
      <c r="D323" s="24"/>
      <c r="E323" s="25"/>
      <c r="F323" s="25"/>
      <c r="G323" s="25"/>
      <c r="H323" s="25"/>
    </row>
    <row r="324">
      <c r="A324" s="6"/>
      <c r="B324" s="6"/>
      <c r="C324" s="6"/>
      <c r="D324" s="21"/>
      <c r="E324" s="22"/>
      <c r="F324" s="22"/>
      <c r="G324" s="22"/>
      <c r="H324" s="22"/>
    </row>
    <row r="325">
      <c r="A325" s="11"/>
      <c r="B325" s="11"/>
      <c r="C325" s="11"/>
      <c r="D325" s="24"/>
      <c r="E325" s="25"/>
      <c r="F325" s="25"/>
      <c r="G325" s="25"/>
      <c r="H325" s="25"/>
    </row>
    <row r="326">
      <c r="A326" s="6"/>
      <c r="B326" s="6"/>
      <c r="C326" s="6"/>
      <c r="D326" s="21"/>
      <c r="E326" s="22"/>
      <c r="F326" s="22"/>
      <c r="G326" s="22"/>
      <c r="H326" s="22"/>
    </row>
    <row r="327">
      <c r="A327" s="11"/>
      <c r="B327" s="11"/>
      <c r="C327" s="11"/>
      <c r="D327" s="24"/>
      <c r="E327" s="25"/>
      <c r="F327" s="25"/>
      <c r="G327" s="25"/>
      <c r="H327" s="25"/>
    </row>
    <row r="328">
      <c r="A328" s="6"/>
      <c r="B328" s="6"/>
      <c r="C328" s="6"/>
      <c r="D328" s="21"/>
      <c r="E328" s="22"/>
      <c r="F328" s="22"/>
      <c r="G328" s="22"/>
      <c r="H328" s="22"/>
    </row>
    <row r="329">
      <c r="A329" s="11"/>
      <c r="B329" s="11"/>
      <c r="C329" s="11"/>
      <c r="D329" s="24"/>
      <c r="E329" s="25"/>
      <c r="F329" s="25"/>
      <c r="G329" s="25"/>
      <c r="H329" s="25"/>
    </row>
    <row r="330">
      <c r="A330" s="6"/>
      <c r="B330" s="6"/>
      <c r="C330" s="6"/>
      <c r="D330" s="21"/>
      <c r="E330" s="22"/>
      <c r="F330" s="22"/>
      <c r="G330" s="22"/>
      <c r="H330" s="22"/>
    </row>
    <row r="331">
      <c r="A331" s="11"/>
      <c r="B331" s="11"/>
      <c r="C331" s="11"/>
      <c r="D331" s="24"/>
      <c r="E331" s="25"/>
      <c r="F331" s="25"/>
      <c r="G331" s="25"/>
      <c r="H331" s="25"/>
    </row>
    <row r="332">
      <c r="A332" s="6"/>
      <c r="B332" s="6"/>
      <c r="C332" s="6"/>
      <c r="D332" s="21"/>
      <c r="E332" s="22"/>
      <c r="F332" s="22"/>
      <c r="G332" s="22"/>
      <c r="H332" s="22"/>
    </row>
    <row r="333">
      <c r="A333" s="11"/>
      <c r="B333" s="11"/>
      <c r="C333" s="11"/>
      <c r="D333" s="24"/>
      <c r="E333" s="25"/>
      <c r="F333" s="25"/>
      <c r="G333" s="25"/>
      <c r="H333" s="25"/>
    </row>
    <row r="334">
      <c r="A334" s="6"/>
      <c r="B334" s="6"/>
      <c r="C334" s="6"/>
      <c r="D334" s="21"/>
      <c r="E334" s="22"/>
      <c r="F334" s="22"/>
      <c r="G334" s="22"/>
      <c r="H334" s="22"/>
    </row>
    <row r="335">
      <c r="A335" s="11"/>
      <c r="B335" s="11"/>
      <c r="C335" s="11"/>
      <c r="D335" s="24"/>
      <c r="E335" s="25"/>
      <c r="F335" s="25"/>
      <c r="G335" s="25"/>
      <c r="H335" s="25"/>
    </row>
    <row r="336">
      <c r="A336" s="6"/>
      <c r="B336" s="6"/>
      <c r="C336" s="6"/>
      <c r="D336" s="21"/>
      <c r="E336" s="22"/>
      <c r="F336" s="22"/>
      <c r="G336" s="22"/>
      <c r="H336" s="22"/>
    </row>
    <row r="337">
      <c r="A337" s="11"/>
      <c r="B337" s="11"/>
      <c r="C337" s="11"/>
      <c r="D337" s="24"/>
      <c r="E337" s="25"/>
      <c r="F337" s="25"/>
      <c r="G337" s="25"/>
      <c r="H337" s="25"/>
    </row>
    <row r="338">
      <c r="A338" s="6"/>
      <c r="B338" s="6"/>
      <c r="C338" s="6"/>
      <c r="D338" s="21"/>
      <c r="E338" s="22"/>
      <c r="F338" s="22"/>
      <c r="G338" s="22"/>
      <c r="H338" s="22"/>
    </row>
    <row r="339">
      <c r="A339" s="11"/>
      <c r="B339" s="11"/>
      <c r="C339" s="11"/>
      <c r="D339" s="24"/>
      <c r="E339" s="25"/>
      <c r="F339" s="25"/>
      <c r="G339" s="25"/>
      <c r="H339" s="25"/>
    </row>
    <row r="340">
      <c r="A340" s="6"/>
      <c r="B340" s="6"/>
      <c r="C340" s="6"/>
      <c r="D340" s="21"/>
      <c r="E340" s="22"/>
      <c r="F340" s="22"/>
      <c r="G340" s="22"/>
      <c r="H340" s="22"/>
    </row>
    <row r="341">
      <c r="A341" s="11"/>
      <c r="B341" s="11"/>
      <c r="C341" s="11"/>
      <c r="D341" s="24"/>
      <c r="E341" s="25"/>
      <c r="F341" s="25"/>
      <c r="G341" s="25"/>
      <c r="H341" s="25"/>
    </row>
    <row r="342">
      <c r="A342" s="6"/>
      <c r="B342" s="6"/>
      <c r="C342" s="6"/>
      <c r="D342" s="21"/>
      <c r="E342" s="22"/>
      <c r="F342" s="22"/>
      <c r="G342" s="22"/>
      <c r="H342" s="22"/>
    </row>
    <row r="343">
      <c r="A343" s="11"/>
      <c r="B343" s="11"/>
      <c r="C343" s="11"/>
      <c r="D343" s="24"/>
      <c r="E343" s="25"/>
      <c r="F343" s="25"/>
      <c r="G343" s="25"/>
      <c r="H343" s="25"/>
    </row>
    <row r="344">
      <c r="A344" s="6"/>
      <c r="B344" s="6"/>
      <c r="C344" s="6"/>
      <c r="D344" s="21"/>
      <c r="E344" s="22"/>
      <c r="F344" s="22"/>
      <c r="G344" s="22"/>
      <c r="H344" s="22"/>
    </row>
    <row r="345">
      <c r="A345" s="11"/>
      <c r="B345" s="11"/>
      <c r="C345" s="11"/>
      <c r="D345" s="24"/>
      <c r="E345" s="25"/>
      <c r="F345" s="25"/>
      <c r="G345" s="25"/>
      <c r="H345" s="25"/>
    </row>
    <row r="346">
      <c r="A346" s="6"/>
      <c r="B346" s="6"/>
      <c r="C346" s="6"/>
      <c r="D346" s="21"/>
      <c r="E346" s="22"/>
      <c r="F346" s="22"/>
      <c r="G346" s="22"/>
      <c r="H346" s="22"/>
    </row>
    <row r="347">
      <c r="A347" s="11"/>
      <c r="B347" s="11"/>
      <c r="C347" s="11"/>
      <c r="D347" s="24"/>
      <c r="E347" s="25"/>
      <c r="F347" s="25"/>
      <c r="G347" s="25"/>
      <c r="H347" s="25"/>
    </row>
    <row r="348">
      <c r="A348" s="6"/>
      <c r="B348" s="6"/>
      <c r="C348" s="6"/>
      <c r="D348" s="21"/>
      <c r="E348" s="22"/>
      <c r="F348" s="22"/>
      <c r="G348" s="22"/>
      <c r="H348" s="22"/>
    </row>
    <row r="349">
      <c r="A349" s="11"/>
      <c r="B349" s="11"/>
      <c r="C349" s="11"/>
      <c r="D349" s="24"/>
      <c r="E349" s="25"/>
      <c r="F349" s="25"/>
      <c r="G349" s="25"/>
      <c r="H349" s="25"/>
    </row>
    <row r="350">
      <c r="A350" s="6"/>
      <c r="B350" s="6"/>
      <c r="C350" s="6"/>
      <c r="D350" s="21"/>
      <c r="E350" s="22"/>
      <c r="F350" s="22"/>
      <c r="G350" s="22"/>
      <c r="H350" s="22"/>
    </row>
    <row r="351">
      <c r="A351" s="11"/>
      <c r="B351" s="11"/>
      <c r="C351" s="11"/>
      <c r="D351" s="24"/>
      <c r="E351" s="25"/>
      <c r="F351" s="25"/>
      <c r="G351" s="25"/>
      <c r="H351" s="25"/>
    </row>
    <row r="352">
      <c r="A352" s="6"/>
      <c r="B352" s="6"/>
      <c r="C352" s="6"/>
      <c r="D352" s="21"/>
      <c r="E352" s="22"/>
      <c r="F352" s="22"/>
      <c r="G352" s="22"/>
      <c r="H352" s="22"/>
    </row>
    <row r="353">
      <c r="A353" s="11"/>
      <c r="B353" s="11"/>
      <c r="C353" s="11"/>
      <c r="D353" s="24"/>
      <c r="E353" s="25"/>
      <c r="F353" s="25"/>
      <c r="G353" s="25"/>
      <c r="H353" s="25"/>
    </row>
    <row r="354">
      <c r="A354" s="6"/>
      <c r="B354" s="6"/>
      <c r="C354" s="6"/>
      <c r="D354" s="21"/>
      <c r="E354" s="22"/>
      <c r="F354" s="22"/>
      <c r="G354" s="22"/>
      <c r="H354" s="22"/>
    </row>
    <row r="355">
      <c r="A355" s="11"/>
      <c r="B355" s="11"/>
      <c r="C355" s="11"/>
      <c r="D355" s="24"/>
      <c r="E355" s="25"/>
      <c r="F355" s="25"/>
      <c r="G355" s="25"/>
      <c r="H355" s="25"/>
    </row>
    <row r="356">
      <c r="A356" s="6"/>
      <c r="B356" s="6"/>
      <c r="C356" s="6"/>
      <c r="D356" s="21"/>
      <c r="E356" s="22"/>
      <c r="F356" s="22"/>
      <c r="G356" s="22"/>
      <c r="H356" s="22"/>
    </row>
    <row r="357">
      <c r="A357" s="11"/>
      <c r="B357" s="11"/>
      <c r="C357" s="11"/>
      <c r="D357" s="24"/>
      <c r="E357" s="25"/>
      <c r="F357" s="25"/>
      <c r="G357" s="25"/>
      <c r="H357" s="25"/>
    </row>
    <row r="358">
      <c r="A358" s="6"/>
      <c r="B358" s="6"/>
      <c r="C358" s="6"/>
      <c r="D358" s="21"/>
      <c r="E358" s="22"/>
      <c r="F358" s="22"/>
      <c r="G358" s="22"/>
      <c r="H358" s="22"/>
    </row>
    <row r="359">
      <c r="A359" s="11"/>
      <c r="B359" s="11"/>
      <c r="C359" s="11"/>
      <c r="D359" s="24"/>
      <c r="E359" s="25"/>
      <c r="F359" s="25"/>
      <c r="G359" s="25"/>
      <c r="H359" s="25"/>
    </row>
    <row r="360">
      <c r="A360" s="6"/>
      <c r="B360" s="6"/>
      <c r="C360" s="6"/>
      <c r="D360" s="21"/>
      <c r="E360" s="22"/>
      <c r="F360" s="22"/>
      <c r="G360" s="22"/>
      <c r="H360" s="22"/>
    </row>
    <row r="361">
      <c r="A361" s="11"/>
      <c r="B361" s="11"/>
      <c r="C361" s="11"/>
      <c r="D361" s="24"/>
      <c r="E361" s="25"/>
      <c r="F361" s="25"/>
      <c r="G361" s="25"/>
      <c r="H361" s="25"/>
    </row>
    <row r="362">
      <c r="A362" s="6"/>
      <c r="B362" s="6"/>
      <c r="C362" s="6"/>
      <c r="D362" s="21"/>
      <c r="E362" s="22"/>
      <c r="F362" s="22"/>
      <c r="G362" s="22"/>
      <c r="H362" s="22"/>
    </row>
    <row r="363">
      <c r="A363" s="11"/>
      <c r="B363" s="11"/>
      <c r="C363" s="11"/>
      <c r="D363" s="24"/>
      <c r="E363" s="25"/>
      <c r="F363" s="25"/>
      <c r="G363" s="25"/>
      <c r="H363" s="25"/>
    </row>
    <row r="364">
      <c r="A364" s="6"/>
      <c r="B364" s="6"/>
      <c r="C364" s="6"/>
      <c r="D364" s="21"/>
      <c r="E364" s="22"/>
      <c r="F364" s="22"/>
      <c r="G364" s="22"/>
      <c r="H364" s="22"/>
    </row>
    <row r="365">
      <c r="A365" s="11"/>
      <c r="B365" s="11"/>
      <c r="C365" s="11"/>
      <c r="D365" s="24"/>
      <c r="E365" s="25"/>
      <c r="F365" s="25"/>
      <c r="G365" s="25"/>
      <c r="H365" s="25"/>
    </row>
    <row r="366">
      <c r="A366" s="6"/>
      <c r="B366" s="6"/>
      <c r="C366" s="6"/>
      <c r="D366" s="21"/>
      <c r="E366" s="22"/>
      <c r="F366" s="22"/>
      <c r="G366" s="22"/>
      <c r="H366" s="22"/>
    </row>
    <row r="367">
      <c r="A367" s="11"/>
      <c r="B367" s="11"/>
      <c r="C367" s="11"/>
      <c r="D367" s="24"/>
      <c r="E367" s="25"/>
      <c r="F367" s="25"/>
      <c r="G367" s="25"/>
      <c r="H367" s="25"/>
    </row>
    <row r="368">
      <c r="A368" s="6"/>
      <c r="B368" s="6"/>
      <c r="C368" s="6"/>
      <c r="D368" s="21"/>
      <c r="E368" s="22"/>
      <c r="F368" s="22"/>
      <c r="G368" s="22"/>
      <c r="H368" s="22"/>
    </row>
    <row r="369">
      <c r="A369" s="11"/>
      <c r="B369" s="11"/>
      <c r="C369" s="11"/>
      <c r="D369" s="24"/>
      <c r="E369" s="25"/>
      <c r="F369" s="25"/>
      <c r="G369" s="25"/>
      <c r="H369" s="25"/>
    </row>
    <row r="370">
      <c r="A370" s="6"/>
      <c r="B370" s="6"/>
      <c r="C370" s="6"/>
      <c r="D370" s="21"/>
      <c r="E370" s="22"/>
      <c r="F370" s="22"/>
      <c r="G370" s="22"/>
      <c r="H370" s="22"/>
    </row>
    <row r="371">
      <c r="A371" s="11"/>
      <c r="B371" s="11"/>
      <c r="C371" s="11"/>
      <c r="D371" s="24"/>
      <c r="E371" s="25"/>
      <c r="F371" s="25"/>
      <c r="G371" s="25"/>
      <c r="H371" s="25"/>
    </row>
    <row r="372">
      <c r="A372" s="6"/>
      <c r="B372" s="6"/>
      <c r="C372" s="6"/>
      <c r="D372" s="21"/>
      <c r="E372" s="22"/>
      <c r="F372" s="22"/>
      <c r="G372" s="22"/>
      <c r="H372" s="22"/>
    </row>
    <row r="373">
      <c r="A373" s="11"/>
      <c r="B373" s="11"/>
      <c r="C373" s="11"/>
      <c r="D373" s="24"/>
      <c r="E373" s="25"/>
      <c r="F373" s="25"/>
      <c r="G373" s="25"/>
      <c r="H373" s="25"/>
    </row>
    <row r="374">
      <c r="A374" s="6"/>
      <c r="B374" s="6"/>
      <c r="C374" s="6"/>
      <c r="D374" s="21"/>
      <c r="E374" s="22"/>
      <c r="F374" s="22"/>
      <c r="G374" s="22"/>
      <c r="H374" s="22"/>
    </row>
    <row r="375">
      <c r="A375" s="11"/>
      <c r="B375" s="11"/>
      <c r="C375" s="11"/>
      <c r="D375" s="24"/>
      <c r="E375" s="25"/>
      <c r="F375" s="25"/>
      <c r="G375" s="25"/>
      <c r="H375" s="25"/>
    </row>
    <row r="376">
      <c r="A376" s="6"/>
      <c r="B376" s="6"/>
      <c r="C376" s="6"/>
      <c r="D376" s="21"/>
      <c r="E376" s="22"/>
      <c r="F376" s="22"/>
      <c r="G376" s="22"/>
      <c r="H376" s="22"/>
    </row>
    <row r="377">
      <c r="A377" s="11"/>
      <c r="B377" s="11"/>
      <c r="C377" s="11"/>
      <c r="D377" s="24"/>
      <c r="E377" s="25"/>
      <c r="F377" s="25"/>
      <c r="G377" s="25"/>
      <c r="H377" s="25"/>
    </row>
    <row r="378">
      <c r="A378" s="6"/>
      <c r="B378" s="6"/>
      <c r="C378" s="6"/>
      <c r="D378" s="21"/>
      <c r="E378" s="22"/>
      <c r="F378" s="22"/>
      <c r="G378" s="22"/>
      <c r="H378" s="22"/>
    </row>
    <row r="379">
      <c r="A379" s="11"/>
      <c r="B379" s="11"/>
      <c r="C379" s="11"/>
      <c r="D379" s="24"/>
      <c r="E379" s="25"/>
      <c r="F379" s="25"/>
      <c r="G379" s="25"/>
      <c r="H379" s="25"/>
    </row>
    <row r="380">
      <c r="A380" s="6"/>
      <c r="B380" s="6"/>
      <c r="C380" s="6"/>
      <c r="D380" s="21"/>
      <c r="E380" s="22"/>
      <c r="F380" s="22"/>
      <c r="G380" s="22"/>
      <c r="H380" s="22"/>
    </row>
    <row r="381">
      <c r="A381" s="11"/>
      <c r="B381" s="11"/>
      <c r="C381" s="11"/>
      <c r="D381" s="24"/>
      <c r="E381" s="25"/>
      <c r="F381" s="25"/>
      <c r="G381" s="25"/>
      <c r="H381" s="25"/>
    </row>
    <row r="382">
      <c r="A382" s="6"/>
      <c r="B382" s="6"/>
      <c r="C382" s="6"/>
      <c r="D382" s="21"/>
      <c r="E382" s="22"/>
      <c r="F382" s="22"/>
      <c r="G382" s="22"/>
      <c r="H382" s="22"/>
    </row>
    <row r="383">
      <c r="A383" s="11"/>
      <c r="B383" s="11"/>
      <c r="C383" s="11"/>
      <c r="D383" s="24"/>
      <c r="E383" s="25"/>
      <c r="F383" s="25"/>
      <c r="G383" s="25"/>
      <c r="H383" s="25"/>
    </row>
    <row r="384">
      <c r="A384" s="6"/>
      <c r="B384" s="6"/>
      <c r="C384" s="6"/>
      <c r="D384" s="21"/>
      <c r="E384" s="22"/>
      <c r="F384" s="22"/>
      <c r="G384" s="22"/>
      <c r="H384" s="22"/>
    </row>
    <row r="385">
      <c r="A385" s="11"/>
      <c r="B385" s="11"/>
      <c r="C385" s="11"/>
      <c r="D385" s="24"/>
      <c r="E385" s="25"/>
      <c r="F385" s="25"/>
      <c r="G385" s="25"/>
      <c r="H385" s="25"/>
    </row>
    <row r="386">
      <c r="A386" s="6"/>
      <c r="B386" s="6"/>
      <c r="C386" s="6"/>
      <c r="D386" s="21"/>
      <c r="E386" s="22"/>
      <c r="F386" s="22"/>
      <c r="G386" s="22"/>
      <c r="H386" s="22"/>
    </row>
    <row r="387">
      <c r="A387" s="11"/>
      <c r="B387" s="11"/>
      <c r="C387" s="11"/>
      <c r="D387" s="24"/>
      <c r="E387" s="25"/>
      <c r="F387" s="25"/>
      <c r="G387" s="25"/>
      <c r="H387" s="25"/>
    </row>
    <row r="388">
      <c r="A388" s="6"/>
      <c r="B388" s="6"/>
      <c r="C388" s="6"/>
      <c r="D388" s="21"/>
      <c r="E388" s="22"/>
      <c r="F388" s="22"/>
      <c r="G388" s="22"/>
      <c r="H388" s="22"/>
    </row>
    <row r="389">
      <c r="A389" s="11"/>
      <c r="B389" s="11"/>
      <c r="C389" s="11"/>
      <c r="D389" s="24"/>
      <c r="E389" s="25"/>
      <c r="F389" s="25"/>
      <c r="G389" s="25"/>
      <c r="H389" s="25"/>
    </row>
    <row r="390">
      <c r="A390" s="6"/>
      <c r="B390" s="6"/>
      <c r="C390" s="6"/>
      <c r="D390" s="21"/>
      <c r="E390" s="22"/>
      <c r="F390" s="22"/>
      <c r="G390" s="22"/>
      <c r="H390" s="22"/>
    </row>
    <row r="391">
      <c r="A391" s="11"/>
      <c r="B391" s="11"/>
      <c r="C391" s="11"/>
      <c r="D391" s="24"/>
      <c r="E391" s="25"/>
      <c r="F391" s="25"/>
      <c r="G391" s="25"/>
      <c r="H391" s="25"/>
    </row>
    <row r="392">
      <c r="A392" s="6"/>
      <c r="B392" s="6"/>
      <c r="C392" s="6"/>
      <c r="D392" s="21"/>
      <c r="E392" s="22"/>
      <c r="F392" s="22"/>
      <c r="G392" s="22"/>
      <c r="H392" s="22"/>
    </row>
    <row r="393">
      <c r="A393" s="11"/>
      <c r="B393" s="11"/>
      <c r="C393" s="11"/>
      <c r="D393" s="24"/>
      <c r="E393" s="25"/>
      <c r="F393" s="25"/>
      <c r="G393" s="25"/>
      <c r="H393" s="25"/>
    </row>
    <row r="394">
      <c r="A394" s="6"/>
      <c r="B394" s="6"/>
      <c r="C394" s="6"/>
      <c r="D394" s="21"/>
      <c r="E394" s="22"/>
      <c r="F394" s="22"/>
      <c r="G394" s="22"/>
      <c r="H394" s="22"/>
    </row>
    <row r="395">
      <c r="A395" s="11"/>
      <c r="B395" s="11"/>
      <c r="C395" s="11"/>
      <c r="D395" s="24"/>
      <c r="E395" s="25"/>
      <c r="F395" s="25"/>
      <c r="G395" s="25"/>
      <c r="H395" s="25"/>
    </row>
    <row r="396">
      <c r="A396" s="6"/>
      <c r="B396" s="6"/>
      <c r="C396" s="6"/>
      <c r="D396" s="21"/>
      <c r="E396" s="22"/>
      <c r="F396" s="22"/>
      <c r="G396" s="22"/>
      <c r="H396" s="22"/>
    </row>
    <row r="397">
      <c r="A397" s="11"/>
      <c r="B397" s="11"/>
      <c r="C397" s="11"/>
      <c r="D397" s="24"/>
      <c r="E397" s="25"/>
      <c r="F397" s="25"/>
      <c r="G397" s="25"/>
      <c r="H397" s="25"/>
    </row>
    <row r="398">
      <c r="A398" s="6"/>
      <c r="B398" s="6"/>
      <c r="C398" s="6"/>
      <c r="D398" s="21"/>
      <c r="E398" s="22"/>
      <c r="F398" s="22"/>
      <c r="G398" s="22"/>
      <c r="H398" s="22"/>
    </row>
    <row r="399">
      <c r="A399" s="11"/>
      <c r="B399" s="11"/>
      <c r="C399" s="11"/>
      <c r="D399" s="24"/>
      <c r="E399" s="25"/>
      <c r="F399" s="25"/>
      <c r="G399" s="25"/>
      <c r="H399" s="25"/>
    </row>
    <row r="400">
      <c r="A400" s="6"/>
      <c r="B400" s="6"/>
      <c r="C400" s="6"/>
      <c r="D400" s="21"/>
      <c r="E400" s="22"/>
      <c r="F400" s="22"/>
      <c r="G400" s="22"/>
      <c r="H400" s="22"/>
    </row>
    <row r="401">
      <c r="A401" s="11"/>
      <c r="B401" s="11"/>
      <c r="C401" s="11"/>
      <c r="D401" s="24"/>
      <c r="E401" s="25"/>
      <c r="F401" s="25"/>
      <c r="G401" s="25"/>
      <c r="H401" s="25"/>
    </row>
    <row r="402">
      <c r="A402" s="6"/>
      <c r="B402" s="6"/>
      <c r="C402" s="6"/>
      <c r="D402" s="21"/>
      <c r="E402" s="22"/>
      <c r="F402" s="22"/>
      <c r="G402" s="22"/>
      <c r="H402" s="22"/>
    </row>
    <row r="403">
      <c r="A403" s="11"/>
      <c r="B403" s="11"/>
      <c r="C403" s="11"/>
      <c r="D403" s="24"/>
      <c r="E403" s="25"/>
      <c r="F403" s="25"/>
      <c r="G403" s="25"/>
      <c r="H403" s="25"/>
    </row>
    <row r="404">
      <c r="A404" s="6"/>
      <c r="B404" s="6"/>
      <c r="C404" s="6"/>
      <c r="D404" s="21"/>
      <c r="E404" s="22"/>
      <c r="F404" s="22"/>
      <c r="G404" s="22"/>
      <c r="H404" s="22"/>
    </row>
    <row r="405">
      <c r="A405" s="11"/>
      <c r="B405" s="11"/>
      <c r="C405" s="11"/>
      <c r="D405" s="24"/>
      <c r="E405" s="25"/>
      <c r="F405" s="25"/>
      <c r="G405" s="25"/>
      <c r="H405" s="25"/>
    </row>
    <row r="406">
      <c r="A406" s="6"/>
      <c r="B406" s="6"/>
      <c r="C406" s="6"/>
      <c r="D406" s="21"/>
      <c r="E406" s="22"/>
      <c r="F406" s="22"/>
      <c r="G406" s="22"/>
      <c r="H406" s="22"/>
    </row>
    <row r="407">
      <c r="A407" s="11"/>
      <c r="B407" s="11"/>
      <c r="C407" s="11"/>
      <c r="D407" s="24"/>
      <c r="E407" s="25"/>
      <c r="F407" s="25"/>
      <c r="G407" s="25"/>
      <c r="H407" s="25"/>
    </row>
    <row r="408">
      <c r="A408" s="6"/>
      <c r="B408" s="6"/>
      <c r="C408" s="6"/>
      <c r="D408" s="21"/>
      <c r="E408" s="22"/>
      <c r="F408" s="22"/>
      <c r="G408" s="22"/>
      <c r="H408" s="22"/>
    </row>
    <row r="409">
      <c r="A409" s="11"/>
      <c r="B409" s="11"/>
      <c r="C409" s="11"/>
      <c r="D409" s="24"/>
      <c r="E409" s="25"/>
      <c r="F409" s="25"/>
      <c r="G409" s="25"/>
      <c r="H409" s="25"/>
    </row>
    <row r="410">
      <c r="A410" s="6"/>
      <c r="B410" s="6"/>
      <c r="C410" s="6"/>
      <c r="D410" s="21"/>
      <c r="E410" s="22"/>
      <c r="F410" s="22"/>
      <c r="G410" s="22"/>
      <c r="H410" s="22"/>
    </row>
    <row r="411">
      <c r="A411" s="11"/>
      <c r="B411" s="11"/>
      <c r="C411" s="11"/>
      <c r="D411" s="24"/>
      <c r="E411" s="25"/>
      <c r="F411" s="25"/>
      <c r="G411" s="25"/>
      <c r="H411" s="25"/>
    </row>
    <row r="412">
      <c r="A412" s="6"/>
      <c r="B412" s="6"/>
      <c r="C412" s="6"/>
      <c r="D412" s="21"/>
      <c r="E412" s="22"/>
      <c r="F412" s="22"/>
      <c r="G412" s="22"/>
      <c r="H412" s="22"/>
    </row>
    <row r="413">
      <c r="A413" s="11"/>
      <c r="B413" s="11"/>
      <c r="C413" s="11"/>
      <c r="D413" s="24"/>
      <c r="E413" s="25"/>
      <c r="F413" s="25"/>
      <c r="G413" s="25"/>
      <c r="H413" s="25"/>
    </row>
    <row r="414">
      <c r="A414" s="6"/>
      <c r="B414" s="6"/>
      <c r="C414" s="6"/>
      <c r="D414" s="21"/>
      <c r="E414" s="22"/>
      <c r="F414" s="22"/>
      <c r="G414" s="22"/>
      <c r="H414" s="22"/>
    </row>
    <row r="415">
      <c r="A415" s="11"/>
      <c r="B415" s="11"/>
      <c r="C415" s="11"/>
      <c r="D415" s="24"/>
      <c r="E415" s="25"/>
      <c r="F415" s="25"/>
      <c r="G415" s="25"/>
      <c r="H415" s="25"/>
    </row>
    <row r="416">
      <c r="A416" s="6"/>
      <c r="B416" s="6"/>
      <c r="C416" s="6"/>
      <c r="D416" s="21"/>
      <c r="E416" s="22"/>
      <c r="F416" s="22"/>
      <c r="G416" s="22"/>
      <c r="H416" s="22"/>
    </row>
    <row r="417">
      <c r="A417" s="11"/>
      <c r="B417" s="11"/>
      <c r="C417" s="11"/>
      <c r="D417" s="24"/>
      <c r="E417" s="25"/>
      <c r="F417" s="25"/>
      <c r="G417" s="25"/>
      <c r="H417" s="25"/>
    </row>
    <row r="418">
      <c r="A418" s="6"/>
      <c r="B418" s="6"/>
      <c r="C418" s="6"/>
      <c r="D418" s="21"/>
      <c r="E418" s="22"/>
      <c r="F418" s="22"/>
      <c r="G418" s="22"/>
      <c r="H418" s="22"/>
    </row>
    <row r="419">
      <c r="A419" s="11"/>
      <c r="B419" s="11"/>
      <c r="C419" s="11"/>
      <c r="D419" s="24"/>
      <c r="E419" s="25"/>
      <c r="F419" s="25"/>
      <c r="G419" s="25"/>
      <c r="H419" s="25"/>
    </row>
    <row r="420">
      <c r="A420" s="6"/>
      <c r="B420" s="6"/>
      <c r="C420" s="6"/>
      <c r="D420" s="21"/>
      <c r="E420" s="22"/>
      <c r="F420" s="22"/>
      <c r="G420" s="22"/>
      <c r="H420" s="22"/>
    </row>
    <row r="421">
      <c r="A421" s="11"/>
      <c r="B421" s="11"/>
      <c r="C421" s="11"/>
      <c r="D421" s="24"/>
      <c r="E421" s="25"/>
      <c r="F421" s="25"/>
      <c r="G421" s="25"/>
      <c r="H421" s="25"/>
    </row>
    <row r="422">
      <c r="A422" s="6"/>
      <c r="B422" s="6"/>
      <c r="C422" s="6"/>
      <c r="D422" s="21"/>
      <c r="E422" s="22"/>
      <c r="F422" s="22"/>
      <c r="G422" s="22"/>
      <c r="H422" s="22"/>
    </row>
    <row r="423">
      <c r="A423" s="11"/>
      <c r="B423" s="11"/>
      <c r="C423" s="11"/>
      <c r="D423" s="24"/>
      <c r="E423" s="25"/>
      <c r="F423" s="25"/>
      <c r="G423" s="25"/>
      <c r="H423" s="25"/>
    </row>
    <row r="424">
      <c r="A424" s="6"/>
      <c r="B424" s="6"/>
      <c r="C424" s="6"/>
      <c r="D424" s="21"/>
      <c r="E424" s="22"/>
      <c r="F424" s="22"/>
      <c r="G424" s="22"/>
      <c r="H424" s="22"/>
    </row>
    <row r="425">
      <c r="A425" s="11"/>
      <c r="B425" s="11"/>
      <c r="C425" s="11"/>
      <c r="D425" s="24"/>
      <c r="E425" s="25"/>
      <c r="F425" s="25"/>
      <c r="G425" s="25"/>
      <c r="H425" s="25"/>
    </row>
    <row r="426">
      <c r="A426" s="6"/>
      <c r="B426" s="6"/>
      <c r="C426" s="6"/>
      <c r="D426" s="21"/>
      <c r="E426" s="22"/>
      <c r="F426" s="22"/>
      <c r="G426" s="22"/>
      <c r="H426" s="22"/>
    </row>
    <row r="427">
      <c r="A427" s="11"/>
      <c r="B427" s="11"/>
      <c r="C427" s="11"/>
      <c r="D427" s="24"/>
      <c r="E427" s="25"/>
      <c r="F427" s="25"/>
      <c r="G427" s="25"/>
      <c r="H427" s="25"/>
    </row>
    <row r="428">
      <c r="A428" s="6"/>
      <c r="B428" s="6"/>
      <c r="C428" s="6"/>
      <c r="D428" s="21"/>
      <c r="E428" s="22"/>
      <c r="F428" s="22"/>
      <c r="G428" s="22"/>
      <c r="H428" s="22"/>
    </row>
    <row r="429">
      <c r="A429" s="11"/>
      <c r="B429" s="11"/>
      <c r="C429" s="11"/>
      <c r="D429" s="24"/>
      <c r="E429" s="25"/>
      <c r="F429" s="25"/>
      <c r="G429" s="25"/>
      <c r="H429" s="25"/>
    </row>
    <row r="430">
      <c r="A430" s="6"/>
      <c r="B430" s="6"/>
      <c r="C430" s="6"/>
      <c r="D430" s="21"/>
      <c r="E430" s="22"/>
      <c r="F430" s="22"/>
      <c r="G430" s="22"/>
      <c r="H430" s="22"/>
    </row>
    <row r="431">
      <c r="A431" s="11"/>
      <c r="B431" s="11"/>
      <c r="C431" s="11"/>
      <c r="D431" s="24"/>
      <c r="E431" s="25"/>
      <c r="F431" s="25"/>
      <c r="G431" s="25"/>
      <c r="H431" s="25"/>
    </row>
    <row r="432">
      <c r="A432" s="6"/>
      <c r="B432" s="6"/>
      <c r="C432" s="6"/>
      <c r="D432" s="21"/>
      <c r="E432" s="22"/>
      <c r="F432" s="22"/>
      <c r="G432" s="22"/>
      <c r="H432" s="22"/>
    </row>
    <row r="433">
      <c r="A433" s="11"/>
      <c r="B433" s="11"/>
      <c r="C433" s="11"/>
      <c r="D433" s="24"/>
      <c r="E433" s="25"/>
      <c r="F433" s="25"/>
      <c r="G433" s="25"/>
      <c r="H433" s="25"/>
    </row>
    <row r="434">
      <c r="A434" s="6"/>
      <c r="B434" s="6"/>
      <c r="C434" s="6"/>
      <c r="D434" s="21"/>
      <c r="E434" s="22"/>
      <c r="F434" s="22"/>
      <c r="G434" s="22"/>
      <c r="H434" s="22"/>
    </row>
    <row r="435">
      <c r="A435" s="11"/>
      <c r="B435" s="11"/>
      <c r="C435" s="11"/>
      <c r="D435" s="24"/>
      <c r="E435" s="25"/>
      <c r="F435" s="25"/>
      <c r="G435" s="25"/>
      <c r="H435" s="25"/>
    </row>
    <row r="436">
      <c r="A436" s="6"/>
      <c r="B436" s="6"/>
      <c r="C436" s="6"/>
      <c r="D436" s="21"/>
      <c r="E436" s="22"/>
      <c r="F436" s="22"/>
      <c r="G436" s="22"/>
      <c r="H436" s="22"/>
    </row>
    <row r="437">
      <c r="A437" s="11"/>
      <c r="B437" s="11"/>
      <c r="C437" s="11"/>
      <c r="D437" s="24"/>
      <c r="E437" s="25"/>
      <c r="F437" s="25"/>
      <c r="G437" s="25"/>
      <c r="H437" s="25"/>
    </row>
    <row r="438">
      <c r="A438" s="6"/>
      <c r="B438" s="6"/>
      <c r="C438" s="6"/>
      <c r="D438" s="21"/>
      <c r="E438" s="22"/>
      <c r="F438" s="22"/>
      <c r="G438" s="22"/>
      <c r="H438" s="22"/>
    </row>
    <row r="439">
      <c r="A439" s="11"/>
      <c r="B439" s="11"/>
      <c r="C439" s="11"/>
      <c r="D439" s="24"/>
      <c r="E439" s="25"/>
      <c r="F439" s="25"/>
      <c r="G439" s="25"/>
      <c r="H439" s="25"/>
    </row>
    <row r="440">
      <c r="A440" s="6"/>
      <c r="B440" s="6"/>
      <c r="C440" s="6"/>
      <c r="D440" s="21"/>
      <c r="E440" s="22"/>
      <c r="F440" s="22"/>
      <c r="G440" s="22"/>
      <c r="H440" s="22"/>
    </row>
    <row r="441">
      <c r="A441" s="11"/>
      <c r="B441" s="11"/>
      <c r="C441" s="11"/>
      <c r="D441" s="24"/>
      <c r="E441" s="25"/>
      <c r="F441" s="25"/>
      <c r="G441" s="25"/>
      <c r="H441" s="25"/>
    </row>
    <row r="442">
      <c r="A442" s="6"/>
      <c r="B442" s="6"/>
      <c r="C442" s="6"/>
      <c r="D442" s="21"/>
      <c r="E442" s="22"/>
      <c r="F442" s="22"/>
      <c r="G442" s="22"/>
      <c r="H442" s="22"/>
    </row>
    <row r="443">
      <c r="A443" s="11"/>
      <c r="B443" s="11"/>
      <c r="C443" s="11"/>
      <c r="D443" s="24"/>
      <c r="E443" s="25"/>
      <c r="F443" s="25"/>
      <c r="G443" s="25"/>
      <c r="H443" s="25"/>
    </row>
    <row r="444">
      <c r="A444" s="6"/>
      <c r="B444" s="6"/>
      <c r="C444" s="6"/>
      <c r="D444" s="21"/>
      <c r="E444" s="22"/>
      <c r="F444" s="22"/>
      <c r="G444" s="22"/>
      <c r="H444" s="22"/>
    </row>
    <row r="445">
      <c r="A445" s="11"/>
      <c r="B445" s="11"/>
      <c r="C445" s="11"/>
      <c r="D445" s="24"/>
      <c r="E445" s="25"/>
      <c r="F445" s="25"/>
      <c r="G445" s="25"/>
      <c r="H445" s="25"/>
    </row>
    <row r="446">
      <c r="A446" s="6"/>
      <c r="B446" s="6"/>
      <c r="C446" s="6"/>
      <c r="D446" s="21"/>
      <c r="E446" s="22"/>
      <c r="F446" s="22"/>
      <c r="G446" s="22"/>
      <c r="H446" s="22"/>
    </row>
    <row r="447">
      <c r="A447" s="11"/>
      <c r="B447" s="11"/>
      <c r="C447" s="11"/>
      <c r="D447" s="24"/>
      <c r="E447" s="25"/>
      <c r="F447" s="25"/>
      <c r="G447" s="25"/>
      <c r="H447" s="25"/>
    </row>
    <row r="448">
      <c r="A448" s="6"/>
      <c r="B448" s="6"/>
      <c r="C448" s="6"/>
      <c r="D448" s="21"/>
      <c r="E448" s="22"/>
      <c r="F448" s="22"/>
      <c r="G448" s="22"/>
      <c r="H448" s="22"/>
    </row>
    <row r="449">
      <c r="A449" s="11"/>
      <c r="B449" s="11"/>
      <c r="C449" s="11"/>
      <c r="D449" s="24"/>
      <c r="E449" s="25"/>
      <c r="F449" s="25"/>
      <c r="G449" s="25"/>
      <c r="H449" s="25"/>
    </row>
    <row r="450">
      <c r="A450" s="6"/>
      <c r="B450" s="6"/>
      <c r="C450" s="6"/>
      <c r="D450" s="21"/>
      <c r="E450" s="22"/>
      <c r="F450" s="22"/>
      <c r="G450" s="22"/>
      <c r="H450" s="22"/>
    </row>
    <row r="451">
      <c r="A451" s="11"/>
      <c r="B451" s="11"/>
      <c r="C451" s="11"/>
      <c r="D451" s="24"/>
      <c r="E451" s="25"/>
      <c r="F451" s="25"/>
      <c r="G451" s="25"/>
      <c r="H451" s="25"/>
    </row>
    <row r="452">
      <c r="A452" s="6"/>
      <c r="B452" s="6"/>
      <c r="C452" s="6"/>
      <c r="D452" s="21"/>
      <c r="E452" s="22"/>
      <c r="F452" s="22"/>
      <c r="G452" s="22"/>
      <c r="H452" s="22"/>
    </row>
    <row r="453">
      <c r="A453" s="11"/>
      <c r="B453" s="11"/>
      <c r="C453" s="11"/>
      <c r="D453" s="24"/>
      <c r="E453" s="25"/>
      <c r="F453" s="25"/>
      <c r="G453" s="25"/>
      <c r="H453" s="25"/>
    </row>
    <row r="454">
      <c r="A454" s="6"/>
      <c r="B454" s="6"/>
      <c r="C454" s="6"/>
      <c r="D454" s="21"/>
      <c r="E454" s="22"/>
      <c r="F454" s="22"/>
      <c r="G454" s="22"/>
      <c r="H454" s="22"/>
    </row>
    <row r="455">
      <c r="A455" s="11"/>
      <c r="B455" s="11"/>
      <c r="C455" s="11"/>
      <c r="D455" s="24"/>
      <c r="E455" s="25"/>
      <c r="F455" s="25"/>
      <c r="G455" s="25"/>
      <c r="H455" s="25"/>
    </row>
    <row r="456">
      <c r="A456" s="6"/>
      <c r="B456" s="6"/>
      <c r="C456" s="6"/>
      <c r="D456" s="21"/>
      <c r="E456" s="22"/>
      <c r="F456" s="22"/>
      <c r="G456" s="22"/>
      <c r="H456" s="22"/>
    </row>
    <row r="457">
      <c r="A457" s="11"/>
      <c r="B457" s="11"/>
      <c r="C457" s="11"/>
      <c r="D457" s="24"/>
      <c r="E457" s="25"/>
      <c r="F457" s="25"/>
      <c r="G457" s="25"/>
      <c r="H457" s="25"/>
    </row>
    <row r="458">
      <c r="A458" s="6"/>
      <c r="B458" s="6"/>
      <c r="C458" s="6"/>
      <c r="D458" s="21"/>
      <c r="E458" s="22"/>
      <c r="F458" s="22"/>
      <c r="G458" s="22"/>
      <c r="H458" s="22"/>
    </row>
    <row r="459">
      <c r="A459" s="11"/>
      <c r="B459" s="11"/>
      <c r="C459" s="11"/>
      <c r="D459" s="24"/>
      <c r="E459" s="25"/>
      <c r="F459" s="25"/>
      <c r="G459" s="25"/>
      <c r="H459" s="25"/>
    </row>
    <row r="460">
      <c r="A460" s="6"/>
      <c r="B460" s="6"/>
      <c r="C460" s="6"/>
      <c r="D460" s="21"/>
      <c r="E460" s="22"/>
      <c r="F460" s="22"/>
      <c r="G460" s="22"/>
      <c r="H460" s="22"/>
    </row>
    <row r="461">
      <c r="A461" s="11"/>
      <c r="B461" s="11"/>
      <c r="C461" s="11"/>
      <c r="D461" s="24"/>
      <c r="E461" s="25"/>
      <c r="F461" s="25"/>
      <c r="G461" s="25"/>
      <c r="H461" s="25"/>
    </row>
    <row r="462">
      <c r="A462" s="6"/>
      <c r="B462" s="6"/>
      <c r="C462" s="6"/>
      <c r="D462" s="21"/>
      <c r="E462" s="22"/>
      <c r="F462" s="22"/>
      <c r="G462" s="22"/>
      <c r="H462" s="22"/>
    </row>
    <row r="463">
      <c r="A463" s="11"/>
      <c r="B463" s="11"/>
      <c r="C463" s="11"/>
      <c r="D463" s="24"/>
      <c r="E463" s="25"/>
      <c r="F463" s="25"/>
      <c r="G463" s="25"/>
      <c r="H463" s="25"/>
    </row>
    <row r="464">
      <c r="A464" s="6"/>
      <c r="B464" s="6"/>
      <c r="C464" s="6"/>
      <c r="D464" s="21"/>
      <c r="E464" s="22"/>
      <c r="F464" s="22"/>
      <c r="G464" s="22"/>
      <c r="H464" s="22"/>
    </row>
    <row r="465">
      <c r="A465" s="11"/>
      <c r="B465" s="11"/>
      <c r="C465" s="11"/>
      <c r="D465" s="24"/>
      <c r="E465" s="25"/>
      <c r="F465" s="25"/>
      <c r="G465" s="25"/>
      <c r="H465" s="25"/>
    </row>
    <row r="466">
      <c r="A466" s="6"/>
      <c r="B466" s="6"/>
      <c r="C466" s="6"/>
      <c r="D466" s="21"/>
      <c r="E466" s="22"/>
      <c r="F466" s="22"/>
      <c r="G466" s="22"/>
      <c r="H466" s="22"/>
    </row>
    <row r="467">
      <c r="A467" s="11"/>
      <c r="B467" s="11"/>
      <c r="C467" s="11"/>
      <c r="D467" s="24"/>
      <c r="E467" s="25"/>
      <c r="F467" s="25"/>
      <c r="G467" s="25"/>
      <c r="H467" s="25"/>
    </row>
    <row r="468">
      <c r="A468" s="6"/>
      <c r="B468" s="6"/>
      <c r="C468" s="6"/>
      <c r="D468" s="21"/>
      <c r="E468" s="22"/>
      <c r="F468" s="22"/>
      <c r="G468" s="22"/>
      <c r="H468" s="22"/>
    </row>
    <row r="469">
      <c r="A469" s="11"/>
      <c r="B469" s="11"/>
      <c r="C469" s="11"/>
      <c r="D469" s="24"/>
      <c r="E469" s="25"/>
      <c r="F469" s="25"/>
      <c r="G469" s="25"/>
      <c r="H469" s="25"/>
    </row>
    <row r="470">
      <c r="A470" s="6"/>
      <c r="B470" s="6"/>
      <c r="C470" s="6"/>
      <c r="D470" s="21"/>
      <c r="E470" s="22"/>
      <c r="F470" s="22"/>
      <c r="G470" s="22"/>
      <c r="H470" s="22"/>
    </row>
    <row r="471">
      <c r="A471" s="11"/>
      <c r="B471" s="11"/>
      <c r="C471" s="11"/>
      <c r="D471" s="24"/>
      <c r="E471" s="25"/>
      <c r="F471" s="25"/>
      <c r="G471" s="25"/>
      <c r="H471" s="25"/>
    </row>
    <row r="472">
      <c r="A472" s="6"/>
      <c r="B472" s="6"/>
      <c r="C472" s="6"/>
      <c r="D472" s="21"/>
      <c r="E472" s="22"/>
      <c r="F472" s="22"/>
      <c r="G472" s="22"/>
      <c r="H472" s="22"/>
    </row>
    <row r="473">
      <c r="A473" s="11"/>
      <c r="B473" s="11"/>
      <c r="C473" s="11"/>
      <c r="D473" s="24"/>
      <c r="E473" s="25"/>
      <c r="F473" s="25"/>
      <c r="G473" s="25"/>
      <c r="H473" s="25"/>
    </row>
    <row r="474">
      <c r="A474" s="6"/>
      <c r="B474" s="6"/>
      <c r="C474" s="6"/>
      <c r="D474" s="21"/>
      <c r="E474" s="22"/>
      <c r="F474" s="22"/>
      <c r="G474" s="22"/>
      <c r="H474" s="22"/>
    </row>
    <row r="475">
      <c r="A475" s="11"/>
      <c r="B475" s="11"/>
      <c r="C475" s="11"/>
      <c r="D475" s="24"/>
      <c r="E475" s="25"/>
      <c r="F475" s="25"/>
      <c r="G475" s="25"/>
      <c r="H475" s="25"/>
    </row>
    <row r="476">
      <c r="A476" s="6"/>
      <c r="B476" s="6"/>
      <c r="C476" s="6"/>
      <c r="D476" s="21"/>
      <c r="E476" s="22"/>
      <c r="F476" s="22"/>
      <c r="G476" s="22"/>
      <c r="H476" s="22"/>
    </row>
    <row r="477">
      <c r="A477" s="11"/>
      <c r="B477" s="11"/>
      <c r="C477" s="11"/>
      <c r="D477" s="24"/>
      <c r="E477" s="25"/>
      <c r="F477" s="25"/>
      <c r="G477" s="25"/>
      <c r="H477" s="25"/>
    </row>
    <row r="478">
      <c r="A478" s="6"/>
      <c r="B478" s="6"/>
      <c r="C478" s="6"/>
      <c r="D478" s="21"/>
      <c r="E478" s="22"/>
      <c r="F478" s="22"/>
      <c r="G478" s="22"/>
      <c r="H478" s="22"/>
    </row>
    <row r="479">
      <c r="A479" s="11"/>
      <c r="B479" s="11"/>
      <c r="C479" s="11"/>
      <c r="D479" s="24"/>
      <c r="E479" s="25"/>
      <c r="F479" s="25"/>
      <c r="G479" s="25"/>
      <c r="H479" s="25"/>
    </row>
    <row r="480">
      <c r="A480" s="6"/>
      <c r="B480" s="6"/>
      <c r="C480" s="6"/>
      <c r="D480" s="21"/>
      <c r="E480" s="22"/>
      <c r="F480" s="22"/>
      <c r="G480" s="22"/>
      <c r="H480" s="22"/>
    </row>
    <row r="481">
      <c r="A481" s="11"/>
      <c r="B481" s="11"/>
      <c r="C481" s="11"/>
      <c r="D481" s="24"/>
      <c r="E481" s="25"/>
      <c r="F481" s="25"/>
      <c r="G481" s="25"/>
      <c r="H481" s="25"/>
    </row>
    <row r="482">
      <c r="A482" s="6"/>
      <c r="B482" s="6"/>
      <c r="C482" s="6"/>
      <c r="D482" s="21"/>
      <c r="E482" s="22"/>
      <c r="F482" s="22"/>
      <c r="G482" s="22"/>
      <c r="H482" s="22"/>
    </row>
    <row r="483">
      <c r="A483" s="11"/>
      <c r="B483" s="11"/>
      <c r="C483" s="11"/>
      <c r="D483" s="24"/>
      <c r="E483" s="25"/>
      <c r="F483" s="25"/>
      <c r="G483" s="25"/>
      <c r="H483" s="25"/>
    </row>
    <row r="484">
      <c r="A484" s="6"/>
      <c r="B484" s="6"/>
      <c r="C484" s="6"/>
      <c r="D484" s="21"/>
      <c r="E484" s="22"/>
      <c r="F484" s="22"/>
      <c r="G484" s="22"/>
      <c r="H484" s="22"/>
    </row>
    <row r="485">
      <c r="A485" s="11"/>
      <c r="B485" s="11"/>
      <c r="C485" s="11"/>
      <c r="D485" s="24"/>
      <c r="E485" s="25"/>
      <c r="F485" s="25"/>
      <c r="G485" s="25"/>
      <c r="H485" s="25"/>
    </row>
    <row r="486">
      <c r="A486" s="6"/>
      <c r="B486" s="6"/>
      <c r="C486" s="6"/>
      <c r="D486" s="21"/>
      <c r="E486" s="22"/>
      <c r="F486" s="22"/>
      <c r="G486" s="22"/>
      <c r="H486" s="22"/>
    </row>
    <row r="487">
      <c r="A487" s="11"/>
      <c r="B487" s="11"/>
      <c r="C487" s="11"/>
      <c r="D487" s="24"/>
      <c r="E487" s="25"/>
      <c r="F487" s="25"/>
      <c r="G487" s="25"/>
      <c r="H487" s="25"/>
    </row>
    <row r="488">
      <c r="A488" s="6"/>
      <c r="B488" s="6"/>
      <c r="C488" s="6"/>
      <c r="D488" s="21"/>
      <c r="E488" s="22"/>
      <c r="F488" s="22"/>
      <c r="G488" s="22"/>
      <c r="H488" s="22"/>
    </row>
    <row r="489">
      <c r="A489" s="11"/>
      <c r="B489" s="11"/>
      <c r="C489" s="11"/>
      <c r="D489" s="24"/>
      <c r="E489" s="25"/>
      <c r="F489" s="25"/>
      <c r="G489" s="25"/>
      <c r="H489" s="25"/>
    </row>
    <row r="490">
      <c r="A490" s="6"/>
      <c r="B490" s="6"/>
      <c r="C490" s="6"/>
      <c r="D490" s="21"/>
      <c r="E490" s="22"/>
      <c r="F490" s="22"/>
      <c r="G490" s="22"/>
      <c r="H490" s="22"/>
    </row>
    <row r="491">
      <c r="A491" s="11"/>
      <c r="B491" s="11"/>
      <c r="C491" s="11"/>
      <c r="D491" s="24"/>
      <c r="E491" s="25"/>
      <c r="F491" s="25"/>
      <c r="G491" s="25"/>
      <c r="H491" s="25"/>
    </row>
    <row r="492">
      <c r="A492" s="6"/>
      <c r="B492" s="6"/>
      <c r="C492" s="6"/>
      <c r="D492" s="21"/>
      <c r="E492" s="22"/>
      <c r="F492" s="22"/>
      <c r="G492" s="22"/>
      <c r="H492" s="22"/>
    </row>
    <row r="493">
      <c r="A493" s="11"/>
      <c r="B493" s="11"/>
      <c r="C493" s="11"/>
      <c r="D493" s="24"/>
      <c r="E493" s="25"/>
      <c r="F493" s="25"/>
      <c r="G493" s="25"/>
      <c r="H493" s="25"/>
    </row>
    <row r="494">
      <c r="A494" s="6"/>
      <c r="B494" s="6"/>
      <c r="C494" s="6"/>
      <c r="D494" s="21"/>
      <c r="E494" s="22"/>
      <c r="F494" s="22"/>
      <c r="G494" s="22"/>
      <c r="H494" s="22"/>
    </row>
    <row r="495">
      <c r="A495" s="11"/>
      <c r="B495" s="11"/>
      <c r="C495" s="11"/>
      <c r="D495" s="24"/>
      <c r="E495" s="25"/>
      <c r="F495" s="25"/>
      <c r="G495" s="25"/>
      <c r="H495" s="25"/>
    </row>
    <row r="496">
      <c r="A496" s="6"/>
      <c r="B496" s="6"/>
      <c r="C496" s="6"/>
      <c r="D496" s="21"/>
      <c r="E496" s="22"/>
      <c r="F496" s="22"/>
      <c r="G496" s="22"/>
      <c r="H496" s="22"/>
    </row>
    <row r="497">
      <c r="A497" s="11"/>
      <c r="B497" s="11"/>
      <c r="C497" s="11"/>
      <c r="D497" s="24"/>
      <c r="E497" s="25"/>
      <c r="F497" s="25"/>
      <c r="G497" s="25"/>
      <c r="H497" s="25"/>
    </row>
    <row r="498">
      <c r="A498" s="6"/>
      <c r="B498" s="6"/>
      <c r="C498" s="6"/>
      <c r="D498" s="21"/>
      <c r="E498" s="22"/>
      <c r="F498" s="22"/>
      <c r="G498" s="22"/>
      <c r="H498" s="22"/>
    </row>
    <row r="499">
      <c r="A499" s="11"/>
      <c r="B499" s="11"/>
      <c r="C499" s="11"/>
      <c r="D499" s="24"/>
      <c r="E499" s="25"/>
      <c r="F499" s="25"/>
      <c r="G499" s="25"/>
      <c r="H499" s="25"/>
    </row>
    <row r="500">
      <c r="A500" s="6"/>
      <c r="B500" s="6"/>
      <c r="C500" s="6"/>
      <c r="D500" s="21"/>
      <c r="E500" s="22"/>
      <c r="F500" s="22"/>
      <c r="G500" s="22"/>
      <c r="H500" s="22"/>
    </row>
    <row r="501">
      <c r="A501" s="11"/>
      <c r="B501" s="11"/>
      <c r="C501" s="11"/>
      <c r="D501" s="24"/>
      <c r="E501" s="25"/>
      <c r="F501" s="25"/>
      <c r="G501" s="25"/>
      <c r="H501" s="25"/>
    </row>
    <row r="502">
      <c r="A502" s="6"/>
      <c r="B502" s="6"/>
      <c r="C502" s="6"/>
      <c r="D502" s="21"/>
      <c r="E502" s="22"/>
      <c r="F502" s="22"/>
      <c r="G502" s="22"/>
      <c r="H502" s="22"/>
    </row>
    <row r="503">
      <c r="A503" s="11"/>
      <c r="B503" s="11"/>
      <c r="C503" s="11"/>
      <c r="D503" s="24"/>
      <c r="E503" s="25"/>
      <c r="F503" s="25"/>
      <c r="G503" s="25"/>
      <c r="H503" s="25"/>
    </row>
    <row r="504">
      <c r="A504" s="6"/>
      <c r="B504" s="6"/>
      <c r="C504" s="6"/>
      <c r="D504" s="21"/>
      <c r="E504" s="22"/>
      <c r="F504" s="22"/>
      <c r="G504" s="22"/>
      <c r="H504" s="22"/>
    </row>
    <row r="505">
      <c r="A505" s="11"/>
      <c r="B505" s="11"/>
      <c r="C505" s="11"/>
      <c r="D505" s="24"/>
      <c r="E505" s="25"/>
      <c r="F505" s="25"/>
      <c r="G505" s="25"/>
      <c r="H505" s="25"/>
    </row>
    <row r="506">
      <c r="A506" s="6"/>
      <c r="B506" s="6"/>
      <c r="C506" s="6"/>
      <c r="D506" s="21"/>
      <c r="E506" s="22"/>
      <c r="F506" s="22"/>
      <c r="G506" s="22"/>
      <c r="H506" s="22"/>
    </row>
    <row r="507">
      <c r="A507" s="11"/>
      <c r="B507" s="11"/>
      <c r="C507" s="11"/>
      <c r="D507" s="24"/>
      <c r="E507" s="25"/>
      <c r="F507" s="25"/>
      <c r="G507" s="25"/>
      <c r="H507" s="25"/>
    </row>
    <row r="508">
      <c r="A508" s="6"/>
      <c r="B508" s="6"/>
      <c r="C508" s="6"/>
      <c r="D508" s="21"/>
      <c r="E508" s="22"/>
      <c r="F508" s="22"/>
      <c r="G508" s="22"/>
      <c r="H508" s="22"/>
    </row>
    <row r="509">
      <c r="A509" s="11"/>
      <c r="B509" s="11"/>
      <c r="C509" s="11"/>
      <c r="D509" s="24"/>
      <c r="E509" s="25"/>
      <c r="F509" s="25"/>
      <c r="G509" s="25"/>
      <c r="H509" s="25"/>
    </row>
    <row r="510">
      <c r="A510" s="6"/>
      <c r="B510" s="6"/>
      <c r="C510" s="6"/>
      <c r="D510" s="21"/>
      <c r="E510" s="22"/>
      <c r="F510" s="22"/>
      <c r="G510" s="22"/>
      <c r="H510" s="22"/>
    </row>
    <row r="511">
      <c r="A511" s="11"/>
      <c r="B511" s="11"/>
      <c r="C511" s="11"/>
      <c r="D511" s="24"/>
      <c r="E511" s="25"/>
      <c r="F511" s="25"/>
      <c r="G511" s="25"/>
      <c r="H511" s="25"/>
    </row>
    <row r="512">
      <c r="A512" s="6"/>
      <c r="B512" s="6"/>
      <c r="C512" s="6"/>
      <c r="D512" s="21"/>
      <c r="E512" s="22"/>
      <c r="F512" s="22"/>
      <c r="G512" s="22"/>
      <c r="H512" s="22"/>
    </row>
    <row r="513">
      <c r="A513" s="11"/>
      <c r="B513" s="11"/>
      <c r="C513" s="11"/>
      <c r="D513" s="24"/>
      <c r="E513" s="25"/>
      <c r="F513" s="25"/>
      <c r="G513" s="25"/>
      <c r="H513" s="25"/>
    </row>
    <row r="514">
      <c r="A514" s="6"/>
      <c r="B514" s="6"/>
      <c r="C514" s="6"/>
      <c r="D514" s="21"/>
      <c r="E514" s="22"/>
      <c r="F514" s="22"/>
      <c r="G514" s="22"/>
      <c r="H514" s="22"/>
    </row>
    <row r="515">
      <c r="A515" s="11"/>
      <c r="B515" s="11"/>
      <c r="C515" s="11"/>
      <c r="D515" s="24"/>
      <c r="E515" s="25"/>
      <c r="F515" s="25"/>
      <c r="G515" s="25"/>
      <c r="H515" s="25"/>
    </row>
    <row r="516">
      <c r="A516" s="6"/>
      <c r="B516" s="6"/>
      <c r="C516" s="6"/>
      <c r="D516" s="21"/>
      <c r="E516" s="22"/>
      <c r="F516" s="22"/>
      <c r="G516" s="22"/>
      <c r="H516" s="22"/>
    </row>
    <row r="517">
      <c r="A517" s="11"/>
      <c r="B517" s="11"/>
      <c r="C517" s="11"/>
      <c r="D517" s="24"/>
      <c r="E517" s="25"/>
      <c r="F517" s="25"/>
      <c r="G517" s="25"/>
      <c r="H517" s="25"/>
    </row>
    <row r="518">
      <c r="A518" s="6"/>
      <c r="B518" s="6"/>
      <c r="C518" s="6"/>
      <c r="D518" s="21"/>
      <c r="E518" s="22"/>
      <c r="F518" s="22"/>
      <c r="G518" s="22"/>
      <c r="H518" s="22"/>
    </row>
    <row r="519">
      <c r="A519" s="11"/>
      <c r="B519" s="11"/>
      <c r="C519" s="11"/>
      <c r="D519" s="24"/>
      <c r="E519" s="25"/>
      <c r="F519" s="25"/>
      <c r="G519" s="25"/>
      <c r="H519" s="25"/>
    </row>
    <row r="520">
      <c r="A520" s="6"/>
      <c r="B520" s="6"/>
      <c r="C520" s="6"/>
      <c r="D520" s="21"/>
      <c r="E520" s="22"/>
      <c r="F520" s="22"/>
      <c r="G520" s="22"/>
      <c r="H520" s="22"/>
    </row>
    <row r="521">
      <c r="A521" s="11"/>
      <c r="B521" s="11"/>
      <c r="C521" s="11"/>
      <c r="D521" s="24"/>
      <c r="E521" s="25"/>
      <c r="F521" s="25"/>
      <c r="G521" s="25"/>
      <c r="H521" s="25"/>
    </row>
    <row r="522">
      <c r="A522" s="6"/>
      <c r="B522" s="6"/>
      <c r="C522" s="6"/>
      <c r="D522" s="21"/>
      <c r="E522" s="22"/>
      <c r="F522" s="22"/>
      <c r="G522" s="22"/>
      <c r="H522" s="22"/>
    </row>
    <row r="523">
      <c r="A523" s="11"/>
      <c r="B523" s="11"/>
      <c r="C523" s="11"/>
      <c r="D523" s="24"/>
      <c r="E523" s="25"/>
      <c r="F523" s="25"/>
      <c r="G523" s="25"/>
      <c r="H523" s="25"/>
    </row>
    <row r="524">
      <c r="A524" s="6"/>
      <c r="B524" s="6"/>
      <c r="C524" s="6"/>
      <c r="D524" s="21"/>
      <c r="E524" s="22"/>
      <c r="F524" s="22"/>
      <c r="G524" s="22"/>
      <c r="H524" s="22"/>
    </row>
    <row r="525">
      <c r="A525" s="11"/>
      <c r="B525" s="11"/>
      <c r="C525" s="11"/>
      <c r="D525" s="24"/>
      <c r="E525" s="25"/>
      <c r="F525" s="25"/>
      <c r="G525" s="25"/>
      <c r="H525" s="25"/>
    </row>
    <row r="526">
      <c r="A526" s="6"/>
      <c r="B526" s="6"/>
      <c r="C526" s="6"/>
      <c r="D526" s="21"/>
      <c r="E526" s="22"/>
      <c r="F526" s="22"/>
      <c r="G526" s="22"/>
      <c r="H526" s="22"/>
    </row>
    <row r="527">
      <c r="A527" s="11"/>
      <c r="B527" s="11"/>
      <c r="C527" s="11"/>
      <c r="D527" s="24"/>
      <c r="E527" s="25"/>
      <c r="F527" s="25"/>
      <c r="G527" s="25"/>
      <c r="H527" s="25"/>
    </row>
    <row r="528">
      <c r="A528" s="6"/>
      <c r="B528" s="6"/>
      <c r="C528" s="6"/>
      <c r="D528" s="21"/>
      <c r="E528" s="22"/>
      <c r="F528" s="22"/>
      <c r="G528" s="22"/>
      <c r="H528" s="22"/>
    </row>
    <row r="529">
      <c r="A529" s="11"/>
      <c r="B529" s="11"/>
      <c r="C529" s="11"/>
      <c r="D529" s="24"/>
      <c r="E529" s="25"/>
      <c r="F529" s="25"/>
      <c r="G529" s="25"/>
      <c r="H529" s="25"/>
    </row>
    <row r="530">
      <c r="A530" s="6"/>
      <c r="B530" s="6"/>
      <c r="C530" s="6"/>
      <c r="D530" s="21"/>
      <c r="E530" s="22"/>
      <c r="F530" s="22"/>
      <c r="G530" s="22"/>
      <c r="H530" s="22"/>
    </row>
    <row r="531">
      <c r="A531" s="11"/>
      <c r="B531" s="11"/>
      <c r="C531" s="11"/>
      <c r="D531" s="24"/>
      <c r="E531" s="25"/>
      <c r="F531" s="25"/>
      <c r="G531" s="25"/>
      <c r="H531" s="25"/>
    </row>
    <row r="532">
      <c r="A532" s="6"/>
      <c r="B532" s="6"/>
      <c r="C532" s="6"/>
      <c r="D532" s="21"/>
      <c r="E532" s="22"/>
      <c r="F532" s="22"/>
      <c r="G532" s="22"/>
      <c r="H532" s="22"/>
    </row>
    <row r="533">
      <c r="A533" s="11"/>
      <c r="B533" s="11"/>
      <c r="C533" s="11"/>
      <c r="D533" s="24"/>
      <c r="E533" s="25"/>
      <c r="F533" s="25"/>
      <c r="G533" s="25"/>
      <c r="H533" s="25"/>
    </row>
    <row r="534">
      <c r="A534" s="6"/>
      <c r="B534" s="6"/>
      <c r="C534" s="6"/>
      <c r="D534" s="21"/>
      <c r="E534" s="22"/>
      <c r="F534" s="22"/>
      <c r="G534" s="22"/>
      <c r="H534" s="22"/>
    </row>
    <row r="535">
      <c r="A535" s="11"/>
      <c r="B535" s="11"/>
      <c r="C535" s="11"/>
      <c r="D535" s="24"/>
      <c r="E535" s="25"/>
      <c r="F535" s="25"/>
      <c r="G535" s="25"/>
      <c r="H535" s="25"/>
    </row>
    <row r="536">
      <c r="A536" s="6"/>
      <c r="B536" s="6"/>
      <c r="C536" s="6"/>
      <c r="D536" s="21"/>
      <c r="E536" s="22"/>
      <c r="F536" s="22"/>
      <c r="G536" s="22"/>
      <c r="H536" s="22"/>
    </row>
    <row r="537">
      <c r="A537" s="11"/>
      <c r="B537" s="11"/>
      <c r="C537" s="11"/>
      <c r="D537" s="24"/>
      <c r="E537" s="25"/>
      <c r="F537" s="25"/>
      <c r="G537" s="25"/>
      <c r="H537" s="25"/>
    </row>
    <row r="538">
      <c r="A538" s="6"/>
      <c r="B538" s="6"/>
      <c r="C538" s="6"/>
      <c r="D538" s="21"/>
      <c r="E538" s="22"/>
      <c r="F538" s="22"/>
      <c r="G538" s="22"/>
      <c r="H538" s="22"/>
    </row>
    <row r="539">
      <c r="A539" s="11"/>
      <c r="B539" s="11"/>
      <c r="C539" s="11"/>
      <c r="D539" s="24"/>
      <c r="E539" s="25"/>
      <c r="F539" s="25"/>
      <c r="G539" s="25"/>
      <c r="H539" s="25"/>
    </row>
    <row r="540">
      <c r="A540" s="6"/>
      <c r="B540" s="6"/>
      <c r="C540" s="6"/>
      <c r="D540" s="21"/>
      <c r="E540" s="22"/>
      <c r="F540" s="22"/>
      <c r="G540" s="22"/>
      <c r="H540" s="22"/>
    </row>
    <row r="541">
      <c r="A541" s="11"/>
      <c r="B541" s="11"/>
      <c r="C541" s="11"/>
      <c r="D541" s="24"/>
      <c r="E541" s="25"/>
      <c r="F541" s="25"/>
      <c r="G541" s="25"/>
      <c r="H541" s="25"/>
    </row>
    <row r="542">
      <c r="A542" s="6"/>
      <c r="B542" s="6"/>
      <c r="C542" s="6"/>
      <c r="D542" s="21"/>
      <c r="E542" s="22"/>
      <c r="F542" s="22"/>
      <c r="G542" s="22"/>
      <c r="H542" s="22"/>
    </row>
    <row r="543">
      <c r="A543" s="11"/>
      <c r="B543" s="11"/>
      <c r="C543" s="11"/>
      <c r="D543" s="24"/>
      <c r="E543" s="25"/>
      <c r="F543" s="25"/>
      <c r="G543" s="25"/>
      <c r="H543" s="25"/>
    </row>
    <row r="544">
      <c r="A544" s="6"/>
      <c r="B544" s="6"/>
      <c r="C544" s="6"/>
      <c r="D544" s="21"/>
      <c r="E544" s="22"/>
      <c r="F544" s="22"/>
      <c r="G544" s="22"/>
      <c r="H544" s="22"/>
    </row>
    <row r="545">
      <c r="A545" s="11"/>
      <c r="B545" s="11"/>
      <c r="C545" s="11"/>
      <c r="D545" s="24"/>
      <c r="E545" s="25"/>
      <c r="F545" s="25"/>
      <c r="G545" s="25"/>
      <c r="H545" s="25"/>
    </row>
    <row r="546">
      <c r="A546" s="6"/>
      <c r="B546" s="6"/>
      <c r="C546" s="6"/>
      <c r="D546" s="21"/>
      <c r="E546" s="22"/>
      <c r="F546" s="22"/>
      <c r="G546" s="22"/>
      <c r="H546" s="22"/>
    </row>
    <row r="547">
      <c r="A547" s="11"/>
      <c r="B547" s="11"/>
      <c r="C547" s="11"/>
      <c r="D547" s="24"/>
      <c r="E547" s="25"/>
      <c r="F547" s="25"/>
      <c r="G547" s="25"/>
      <c r="H547" s="25"/>
    </row>
    <row r="548">
      <c r="A548" s="6"/>
      <c r="B548" s="6"/>
      <c r="C548" s="6"/>
      <c r="D548" s="21"/>
      <c r="E548" s="22"/>
      <c r="F548" s="22"/>
      <c r="G548" s="22"/>
      <c r="H548" s="22"/>
    </row>
    <row r="549">
      <c r="A549" s="11"/>
      <c r="B549" s="11"/>
      <c r="C549" s="11"/>
      <c r="D549" s="24"/>
      <c r="E549" s="25"/>
      <c r="F549" s="25"/>
      <c r="G549" s="25"/>
      <c r="H549" s="25"/>
    </row>
    <row r="550">
      <c r="A550" s="6"/>
      <c r="B550" s="6"/>
      <c r="C550" s="6"/>
      <c r="D550" s="21"/>
      <c r="E550" s="22"/>
      <c r="F550" s="22"/>
      <c r="G550" s="22"/>
      <c r="H550" s="22"/>
    </row>
    <row r="551">
      <c r="A551" s="11"/>
      <c r="B551" s="11"/>
      <c r="C551" s="11"/>
      <c r="D551" s="24"/>
      <c r="E551" s="25"/>
      <c r="F551" s="25"/>
      <c r="G551" s="25"/>
      <c r="H551" s="25"/>
    </row>
    <row r="552">
      <c r="A552" s="6"/>
      <c r="B552" s="6"/>
      <c r="C552" s="6"/>
      <c r="D552" s="21"/>
      <c r="E552" s="22"/>
      <c r="F552" s="22"/>
      <c r="G552" s="22"/>
      <c r="H552" s="22"/>
    </row>
    <row r="553">
      <c r="A553" s="11"/>
      <c r="B553" s="11"/>
      <c r="C553" s="11"/>
      <c r="D553" s="24"/>
      <c r="E553" s="25"/>
      <c r="F553" s="25"/>
      <c r="G553" s="25"/>
      <c r="H553" s="25"/>
    </row>
    <row r="554">
      <c r="A554" s="6"/>
      <c r="B554" s="6"/>
      <c r="C554" s="6"/>
      <c r="D554" s="21"/>
      <c r="E554" s="22"/>
      <c r="F554" s="22"/>
      <c r="G554" s="22"/>
      <c r="H554" s="22"/>
    </row>
    <row r="555">
      <c r="A555" s="11"/>
      <c r="B555" s="11"/>
      <c r="C555" s="11"/>
      <c r="D555" s="24"/>
      <c r="E555" s="25"/>
      <c r="F555" s="25"/>
      <c r="G555" s="25"/>
      <c r="H555" s="25"/>
    </row>
    <row r="556">
      <c r="A556" s="6"/>
      <c r="B556" s="6"/>
      <c r="C556" s="6"/>
      <c r="D556" s="21"/>
      <c r="E556" s="22"/>
      <c r="F556" s="22"/>
      <c r="G556" s="22"/>
      <c r="H556" s="22"/>
    </row>
    <row r="557">
      <c r="A557" s="11"/>
      <c r="B557" s="11"/>
      <c r="C557" s="11"/>
      <c r="D557" s="24"/>
      <c r="E557" s="25"/>
      <c r="F557" s="25"/>
      <c r="G557" s="25"/>
      <c r="H557" s="25"/>
    </row>
    <row r="558">
      <c r="A558" s="6"/>
      <c r="B558" s="6"/>
      <c r="C558" s="6"/>
      <c r="D558" s="21"/>
      <c r="E558" s="22"/>
      <c r="F558" s="22"/>
      <c r="G558" s="22"/>
      <c r="H558" s="22"/>
    </row>
    <row r="559">
      <c r="A559" s="11"/>
      <c r="B559" s="11"/>
      <c r="C559" s="11"/>
      <c r="D559" s="24"/>
      <c r="E559" s="25"/>
      <c r="F559" s="25"/>
      <c r="G559" s="25"/>
      <c r="H559" s="25"/>
    </row>
    <row r="560">
      <c r="A560" s="6"/>
      <c r="B560" s="6"/>
      <c r="C560" s="6"/>
      <c r="D560" s="21"/>
      <c r="E560" s="22"/>
      <c r="F560" s="22"/>
      <c r="G560" s="22"/>
      <c r="H560" s="22"/>
    </row>
    <row r="561">
      <c r="A561" s="11"/>
      <c r="B561" s="11"/>
      <c r="C561" s="11"/>
      <c r="D561" s="24"/>
      <c r="E561" s="25"/>
      <c r="F561" s="25"/>
      <c r="G561" s="25"/>
      <c r="H561" s="25"/>
    </row>
    <row r="562">
      <c r="A562" s="6"/>
      <c r="B562" s="6"/>
      <c r="C562" s="6"/>
      <c r="D562" s="21"/>
      <c r="E562" s="22"/>
      <c r="F562" s="22"/>
      <c r="G562" s="22"/>
      <c r="H562" s="22"/>
    </row>
    <row r="563">
      <c r="A563" s="11"/>
      <c r="B563" s="11"/>
      <c r="C563" s="11"/>
      <c r="D563" s="24"/>
      <c r="E563" s="25"/>
      <c r="F563" s="25"/>
      <c r="G563" s="25"/>
      <c r="H563" s="25"/>
    </row>
    <row r="564">
      <c r="A564" s="6"/>
      <c r="B564" s="6"/>
      <c r="C564" s="6"/>
      <c r="D564" s="21"/>
      <c r="E564" s="22"/>
      <c r="F564" s="22"/>
      <c r="G564" s="22"/>
      <c r="H564" s="22"/>
    </row>
    <row r="565">
      <c r="A565" s="11"/>
      <c r="B565" s="11"/>
      <c r="C565" s="11"/>
      <c r="D565" s="24"/>
      <c r="E565" s="25"/>
      <c r="F565" s="25"/>
      <c r="G565" s="25"/>
      <c r="H565" s="25"/>
    </row>
    <row r="566">
      <c r="A566" s="6"/>
      <c r="B566" s="6"/>
      <c r="C566" s="6"/>
      <c r="D566" s="21"/>
      <c r="E566" s="22"/>
      <c r="F566" s="22"/>
      <c r="G566" s="22"/>
      <c r="H566" s="22"/>
    </row>
    <row r="567">
      <c r="A567" s="11"/>
      <c r="B567" s="11"/>
      <c r="C567" s="11"/>
      <c r="D567" s="24"/>
      <c r="E567" s="25"/>
      <c r="F567" s="25"/>
      <c r="G567" s="25"/>
      <c r="H567" s="25"/>
    </row>
    <row r="568">
      <c r="A568" s="6"/>
      <c r="B568" s="6"/>
      <c r="C568" s="6"/>
      <c r="D568" s="21"/>
      <c r="E568" s="22"/>
      <c r="F568" s="22"/>
      <c r="G568" s="22"/>
      <c r="H568" s="22"/>
    </row>
    <row r="569">
      <c r="A569" s="11"/>
      <c r="B569" s="11"/>
      <c r="C569" s="11"/>
      <c r="D569" s="24"/>
      <c r="E569" s="25"/>
      <c r="F569" s="25"/>
      <c r="G569" s="25"/>
      <c r="H569" s="25"/>
    </row>
    <row r="570">
      <c r="A570" s="6"/>
      <c r="B570" s="6"/>
      <c r="C570" s="6"/>
      <c r="D570" s="21"/>
      <c r="E570" s="22"/>
      <c r="F570" s="22"/>
      <c r="G570" s="22"/>
      <c r="H570" s="22"/>
    </row>
    <row r="571">
      <c r="A571" s="11"/>
      <c r="B571" s="11"/>
      <c r="C571" s="11"/>
      <c r="D571" s="24"/>
      <c r="E571" s="25"/>
      <c r="F571" s="25"/>
      <c r="G571" s="25"/>
      <c r="H571" s="25"/>
    </row>
    <row r="572">
      <c r="A572" s="6"/>
      <c r="B572" s="6"/>
      <c r="C572" s="6"/>
      <c r="D572" s="21"/>
      <c r="E572" s="22"/>
      <c r="F572" s="22"/>
      <c r="G572" s="22"/>
      <c r="H572" s="22"/>
    </row>
    <row r="573">
      <c r="A573" s="11"/>
      <c r="B573" s="11"/>
      <c r="C573" s="11"/>
      <c r="D573" s="24"/>
      <c r="E573" s="25"/>
      <c r="F573" s="25"/>
      <c r="G573" s="25"/>
      <c r="H573" s="25"/>
    </row>
    <row r="574">
      <c r="A574" s="6"/>
      <c r="B574" s="6"/>
      <c r="C574" s="6"/>
      <c r="D574" s="21"/>
      <c r="E574" s="22"/>
      <c r="F574" s="22"/>
      <c r="G574" s="22"/>
      <c r="H574" s="22"/>
    </row>
    <row r="575">
      <c r="A575" s="11"/>
      <c r="B575" s="11"/>
      <c r="C575" s="11"/>
      <c r="D575" s="24"/>
      <c r="E575" s="25"/>
      <c r="F575" s="25"/>
      <c r="G575" s="25"/>
      <c r="H575" s="25"/>
    </row>
    <row r="576">
      <c r="A576" s="6"/>
      <c r="B576" s="6"/>
      <c r="C576" s="6"/>
      <c r="D576" s="21"/>
      <c r="E576" s="22"/>
      <c r="F576" s="22"/>
      <c r="G576" s="22"/>
      <c r="H576" s="22"/>
    </row>
    <row r="577">
      <c r="A577" s="11"/>
      <c r="B577" s="11"/>
      <c r="C577" s="11"/>
      <c r="D577" s="24"/>
      <c r="E577" s="25"/>
      <c r="F577" s="25"/>
      <c r="G577" s="25"/>
      <c r="H577" s="25"/>
    </row>
    <row r="578">
      <c r="A578" s="6"/>
      <c r="B578" s="6"/>
      <c r="C578" s="6"/>
      <c r="D578" s="21"/>
      <c r="E578" s="22"/>
      <c r="F578" s="22"/>
      <c r="G578" s="22"/>
      <c r="H578" s="22"/>
    </row>
    <row r="579">
      <c r="A579" s="11"/>
      <c r="B579" s="11"/>
      <c r="C579" s="11"/>
      <c r="D579" s="24"/>
      <c r="E579" s="25"/>
      <c r="F579" s="25"/>
      <c r="G579" s="25"/>
      <c r="H579" s="25"/>
    </row>
    <row r="580">
      <c r="A580" s="6"/>
      <c r="B580" s="6"/>
      <c r="C580" s="6"/>
      <c r="D580" s="21"/>
      <c r="E580" s="22"/>
      <c r="F580" s="22"/>
      <c r="G580" s="22"/>
      <c r="H580" s="22"/>
    </row>
    <row r="581">
      <c r="A581" s="11"/>
      <c r="B581" s="11"/>
      <c r="C581" s="11"/>
      <c r="D581" s="24"/>
      <c r="E581" s="25"/>
      <c r="F581" s="25"/>
      <c r="G581" s="25"/>
      <c r="H581" s="25"/>
    </row>
    <row r="582">
      <c r="A582" s="6"/>
      <c r="B582" s="6"/>
      <c r="C582" s="6"/>
      <c r="D582" s="21"/>
      <c r="E582" s="22"/>
      <c r="F582" s="22"/>
      <c r="G582" s="22"/>
      <c r="H582" s="22"/>
    </row>
    <row r="583">
      <c r="A583" s="11"/>
      <c r="B583" s="11"/>
      <c r="C583" s="11"/>
      <c r="D583" s="24"/>
      <c r="E583" s="25"/>
      <c r="F583" s="25"/>
      <c r="G583" s="25"/>
      <c r="H583" s="25"/>
    </row>
    <row r="584">
      <c r="A584" s="6"/>
      <c r="B584" s="6"/>
      <c r="C584" s="6"/>
      <c r="D584" s="21"/>
      <c r="E584" s="22"/>
      <c r="F584" s="22"/>
      <c r="G584" s="22"/>
      <c r="H584" s="22"/>
    </row>
    <row r="585">
      <c r="A585" s="11"/>
      <c r="B585" s="11"/>
      <c r="C585" s="11"/>
      <c r="D585" s="24"/>
      <c r="E585" s="25"/>
      <c r="F585" s="25"/>
      <c r="G585" s="25"/>
      <c r="H585" s="25"/>
    </row>
    <row r="586">
      <c r="A586" s="6"/>
      <c r="B586" s="6"/>
      <c r="C586" s="6"/>
      <c r="D586" s="21"/>
      <c r="E586" s="22"/>
      <c r="F586" s="22"/>
      <c r="G586" s="22"/>
      <c r="H586" s="22"/>
    </row>
    <row r="587">
      <c r="A587" s="11"/>
      <c r="B587" s="11"/>
      <c r="C587" s="11"/>
      <c r="D587" s="24"/>
      <c r="E587" s="25"/>
      <c r="F587" s="25"/>
      <c r="G587" s="25"/>
      <c r="H587" s="25"/>
    </row>
    <row r="588">
      <c r="A588" s="6"/>
      <c r="B588" s="6"/>
      <c r="C588" s="6"/>
      <c r="D588" s="21"/>
      <c r="E588" s="22"/>
      <c r="F588" s="22"/>
      <c r="G588" s="22"/>
      <c r="H588" s="22"/>
    </row>
    <row r="589">
      <c r="A589" s="11"/>
      <c r="B589" s="11"/>
      <c r="C589" s="11"/>
      <c r="D589" s="24"/>
      <c r="E589" s="25"/>
      <c r="F589" s="25"/>
      <c r="G589" s="25"/>
      <c r="H589" s="25"/>
    </row>
    <row r="590">
      <c r="A590" s="6"/>
      <c r="B590" s="6"/>
      <c r="C590" s="6"/>
      <c r="D590" s="21"/>
      <c r="E590" s="22"/>
      <c r="F590" s="22"/>
      <c r="G590" s="22"/>
      <c r="H590" s="22"/>
    </row>
    <row r="591">
      <c r="A591" s="11"/>
      <c r="B591" s="11"/>
      <c r="C591" s="11"/>
      <c r="D591" s="24"/>
      <c r="E591" s="25"/>
      <c r="F591" s="25"/>
      <c r="G591" s="25"/>
      <c r="H591" s="25"/>
    </row>
    <row r="592">
      <c r="A592" s="6"/>
      <c r="B592" s="6"/>
      <c r="C592" s="6"/>
      <c r="D592" s="21"/>
      <c r="E592" s="22"/>
      <c r="F592" s="22"/>
      <c r="G592" s="22"/>
      <c r="H592" s="22"/>
    </row>
    <row r="593">
      <c r="A593" s="11"/>
      <c r="B593" s="11"/>
      <c r="C593" s="11"/>
      <c r="D593" s="24"/>
      <c r="E593" s="25"/>
      <c r="F593" s="25"/>
      <c r="G593" s="25"/>
      <c r="H593" s="25"/>
    </row>
    <row r="594">
      <c r="A594" s="6"/>
      <c r="B594" s="6"/>
      <c r="C594" s="6"/>
      <c r="D594" s="21"/>
      <c r="E594" s="22"/>
      <c r="F594" s="22"/>
      <c r="G594" s="22"/>
      <c r="H594" s="22"/>
    </row>
    <row r="595">
      <c r="A595" s="11"/>
      <c r="B595" s="11"/>
      <c r="C595" s="11"/>
      <c r="D595" s="24"/>
      <c r="E595" s="25"/>
      <c r="F595" s="25"/>
      <c r="G595" s="25"/>
      <c r="H595" s="25"/>
    </row>
    <row r="596">
      <c r="A596" s="6"/>
      <c r="B596" s="6"/>
      <c r="C596" s="6"/>
      <c r="D596" s="21"/>
      <c r="E596" s="22"/>
      <c r="F596" s="22"/>
      <c r="G596" s="22"/>
      <c r="H596" s="22"/>
    </row>
    <row r="597">
      <c r="A597" s="11"/>
      <c r="B597" s="11"/>
      <c r="C597" s="11"/>
      <c r="D597" s="24"/>
      <c r="E597" s="25"/>
      <c r="F597" s="25"/>
      <c r="G597" s="25"/>
      <c r="H597" s="25"/>
    </row>
    <row r="598">
      <c r="A598" s="6"/>
      <c r="B598" s="6"/>
      <c r="C598" s="6"/>
      <c r="D598" s="21"/>
      <c r="E598" s="22"/>
      <c r="F598" s="22"/>
      <c r="G598" s="22"/>
      <c r="H598" s="22"/>
    </row>
    <row r="599">
      <c r="A599" s="11"/>
      <c r="B599" s="11"/>
      <c r="C599" s="11"/>
      <c r="D599" s="24"/>
      <c r="E599" s="25"/>
      <c r="F599" s="25"/>
      <c r="G599" s="25"/>
      <c r="H599" s="25"/>
    </row>
    <row r="600">
      <c r="A600" s="6"/>
      <c r="B600" s="6"/>
      <c r="C600" s="6"/>
      <c r="D600" s="21"/>
      <c r="E600" s="22"/>
      <c r="F600" s="22"/>
      <c r="G600" s="22"/>
      <c r="H600" s="22"/>
    </row>
    <row r="601">
      <c r="A601" s="11"/>
      <c r="B601" s="11"/>
      <c r="C601" s="11"/>
      <c r="D601" s="24"/>
      <c r="E601" s="25"/>
      <c r="F601" s="25"/>
      <c r="G601" s="25"/>
      <c r="H601" s="25"/>
    </row>
    <row r="602">
      <c r="A602" s="6"/>
      <c r="B602" s="6"/>
      <c r="C602" s="6"/>
      <c r="D602" s="21"/>
      <c r="E602" s="22"/>
      <c r="F602" s="22"/>
      <c r="G602" s="22"/>
      <c r="H602" s="22"/>
    </row>
    <row r="603">
      <c r="A603" s="11"/>
      <c r="B603" s="11"/>
      <c r="C603" s="11"/>
      <c r="D603" s="24"/>
      <c r="E603" s="25"/>
      <c r="F603" s="25"/>
      <c r="G603" s="25"/>
      <c r="H603" s="25"/>
    </row>
    <row r="604">
      <c r="A604" s="6"/>
      <c r="B604" s="6"/>
      <c r="C604" s="6"/>
      <c r="D604" s="21"/>
      <c r="E604" s="22"/>
      <c r="F604" s="22"/>
      <c r="G604" s="22"/>
      <c r="H604" s="22"/>
    </row>
    <row r="605">
      <c r="A605" s="11"/>
      <c r="B605" s="11"/>
      <c r="C605" s="11"/>
      <c r="D605" s="24"/>
      <c r="E605" s="25"/>
      <c r="F605" s="25"/>
      <c r="G605" s="25"/>
      <c r="H605" s="25"/>
    </row>
    <row r="606">
      <c r="A606" s="6"/>
      <c r="B606" s="6"/>
      <c r="C606" s="6"/>
      <c r="D606" s="21"/>
      <c r="E606" s="22"/>
      <c r="F606" s="22"/>
      <c r="G606" s="22"/>
      <c r="H606" s="22"/>
    </row>
    <row r="607">
      <c r="A607" s="11"/>
      <c r="B607" s="11"/>
      <c r="C607" s="11"/>
      <c r="D607" s="24"/>
      <c r="E607" s="25"/>
      <c r="F607" s="25"/>
      <c r="G607" s="25"/>
      <c r="H607" s="25"/>
    </row>
    <row r="608">
      <c r="A608" s="6"/>
      <c r="B608" s="6"/>
      <c r="C608" s="6"/>
      <c r="D608" s="21"/>
      <c r="E608" s="22"/>
      <c r="F608" s="22"/>
      <c r="G608" s="22"/>
      <c r="H608" s="22"/>
    </row>
    <row r="609">
      <c r="A609" s="11"/>
      <c r="B609" s="11"/>
      <c r="C609" s="11"/>
      <c r="D609" s="24"/>
      <c r="E609" s="25"/>
      <c r="F609" s="25"/>
      <c r="G609" s="25"/>
      <c r="H609" s="25"/>
    </row>
    <row r="610">
      <c r="A610" s="6"/>
      <c r="B610" s="6"/>
      <c r="C610" s="6"/>
      <c r="D610" s="21"/>
      <c r="E610" s="22"/>
      <c r="F610" s="22"/>
      <c r="G610" s="22"/>
      <c r="H610" s="22"/>
    </row>
    <row r="611">
      <c r="A611" s="11"/>
      <c r="B611" s="11"/>
      <c r="C611" s="11"/>
      <c r="D611" s="24"/>
      <c r="E611" s="25"/>
      <c r="F611" s="25"/>
      <c r="G611" s="25"/>
      <c r="H611" s="25"/>
    </row>
    <row r="612">
      <c r="A612" s="6"/>
      <c r="B612" s="6"/>
      <c r="C612" s="6"/>
      <c r="D612" s="21"/>
      <c r="E612" s="22"/>
      <c r="F612" s="22"/>
      <c r="G612" s="22"/>
      <c r="H612" s="22"/>
    </row>
    <row r="613">
      <c r="A613" s="11"/>
      <c r="B613" s="11"/>
      <c r="C613" s="11"/>
      <c r="D613" s="24"/>
      <c r="E613" s="25"/>
      <c r="F613" s="25"/>
      <c r="G613" s="25"/>
      <c r="H613" s="25"/>
    </row>
    <row r="614">
      <c r="A614" s="6"/>
      <c r="B614" s="6"/>
      <c r="C614" s="6"/>
      <c r="D614" s="21"/>
      <c r="E614" s="22"/>
      <c r="F614" s="22"/>
      <c r="G614" s="22"/>
      <c r="H614" s="22"/>
    </row>
    <row r="615">
      <c r="A615" s="11"/>
      <c r="B615" s="11"/>
      <c r="C615" s="11"/>
      <c r="D615" s="24"/>
      <c r="E615" s="25"/>
      <c r="F615" s="25"/>
      <c r="G615" s="25"/>
      <c r="H615" s="25"/>
    </row>
    <row r="616">
      <c r="A616" s="6"/>
      <c r="B616" s="6"/>
      <c r="C616" s="6"/>
      <c r="D616" s="21"/>
      <c r="E616" s="22"/>
      <c r="F616" s="22"/>
      <c r="G616" s="22"/>
      <c r="H616" s="22"/>
    </row>
    <row r="617">
      <c r="A617" s="11"/>
      <c r="B617" s="11"/>
      <c r="C617" s="11"/>
      <c r="D617" s="24"/>
      <c r="E617" s="25"/>
      <c r="F617" s="25"/>
      <c r="G617" s="25"/>
      <c r="H617" s="25"/>
    </row>
    <row r="618">
      <c r="A618" s="6"/>
      <c r="B618" s="6"/>
      <c r="C618" s="6"/>
      <c r="D618" s="21"/>
      <c r="E618" s="22"/>
      <c r="F618" s="22"/>
      <c r="G618" s="22"/>
      <c r="H618" s="22"/>
    </row>
    <row r="619">
      <c r="A619" s="11"/>
      <c r="B619" s="11"/>
      <c r="C619" s="11"/>
      <c r="D619" s="24"/>
      <c r="E619" s="25"/>
      <c r="F619" s="25"/>
      <c r="G619" s="25"/>
      <c r="H619" s="25"/>
    </row>
    <row r="620">
      <c r="A620" s="6"/>
      <c r="B620" s="6"/>
      <c r="C620" s="6"/>
      <c r="D620" s="21"/>
      <c r="E620" s="22"/>
      <c r="F620" s="22"/>
      <c r="G620" s="22"/>
      <c r="H620" s="22"/>
    </row>
    <row r="621">
      <c r="A621" s="11"/>
      <c r="B621" s="11"/>
      <c r="C621" s="11"/>
      <c r="D621" s="24"/>
      <c r="E621" s="25"/>
      <c r="F621" s="25"/>
      <c r="G621" s="25"/>
      <c r="H621" s="25"/>
    </row>
    <row r="622">
      <c r="A622" s="6"/>
      <c r="B622" s="6"/>
      <c r="C622" s="6"/>
      <c r="D622" s="21"/>
      <c r="E622" s="22"/>
      <c r="F622" s="22"/>
      <c r="G622" s="22"/>
      <c r="H622" s="22"/>
    </row>
    <row r="623">
      <c r="A623" s="11"/>
      <c r="B623" s="11"/>
      <c r="C623" s="11"/>
      <c r="D623" s="24"/>
      <c r="E623" s="25"/>
      <c r="F623" s="25"/>
      <c r="G623" s="25"/>
      <c r="H623" s="25"/>
    </row>
    <row r="624">
      <c r="A624" s="6"/>
      <c r="B624" s="6"/>
      <c r="C624" s="6"/>
      <c r="D624" s="21"/>
      <c r="E624" s="22"/>
      <c r="F624" s="22"/>
      <c r="G624" s="22"/>
      <c r="H624" s="22"/>
    </row>
    <row r="625">
      <c r="A625" s="11"/>
      <c r="B625" s="11"/>
      <c r="C625" s="11"/>
      <c r="D625" s="24"/>
      <c r="E625" s="25"/>
      <c r="F625" s="25"/>
      <c r="G625" s="25"/>
      <c r="H625" s="25"/>
    </row>
    <row r="626">
      <c r="A626" s="6"/>
      <c r="B626" s="6"/>
      <c r="C626" s="6"/>
      <c r="D626" s="21"/>
      <c r="E626" s="22"/>
      <c r="F626" s="22"/>
      <c r="G626" s="22"/>
      <c r="H626" s="22"/>
    </row>
    <row r="627">
      <c r="A627" s="11"/>
      <c r="B627" s="11"/>
      <c r="C627" s="11"/>
      <c r="D627" s="24"/>
      <c r="E627" s="25"/>
      <c r="F627" s="25"/>
      <c r="G627" s="25"/>
      <c r="H627" s="25"/>
    </row>
    <row r="628">
      <c r="A628" s="6"/>
      <c r="B628" s="6"/>
      <c r="C628" s="6"/>
      <c r="D628" s="21"/>
      <c r="E628" s="22"/>
      <c r="F628" s="22"/>
      <c r="G628" s="22"/>
      <c r="H628" s="22"/>
    </row>
    <row r="629">
      <c r="A629" s="11"/>
      <c r="B629" s="11"/>
      <c r="C629" s="11"/>
      <c r="D629" s="24"/>
      <c r="E629" s="25"/>
      <c r="F629" s="25"/>
      <c r="G629" s="25"/>
      <c r="H629" s="25"/>
    </row>
    <row r="630">
      <c r="A630" s="6"/>
      <c r="B630" s="6"/>
      <c r="C630" s="6"/>
      <c r="D630" s="21"/>
      <c r="E630" s="22"/>
      <c r="F630" s="22"/>
      <c r="G630" s="22"/>
      <c r="H630" s="22"/>
    </row>
    <row r="631">
      <c r="A631" s="11"/>
      <c r="B631" s="11"/>
      <c r="C631" s="11"/>
      <c r="D631" s="24"/>
      <c r="E631" s="25"/>
      <c r="F631" s="25"/>
      <c r="G631" s="25"/>
      <c r="H631" s="25"/>
    </row>
    <row r="632">
      <c r="A632" s="6"/>
      <c r="B632" s="6"/>
      <c r="C632" s="6"/>
      <c r="D632" s="21"/>
      <c r="E632" s="22"/>
      <c r="F632" s="22"/>
      <c r="G632" s="22"/>
      <c r="H632" s="22"/>
    </row>
    <row r="633">
      <c r="A633" s="11"/>
      <c r="B633" s="11"/>
      <c r="C633" s="11"/>
      <c r="D633" s="24"/>
      <c r="E633" s="25"/>
      <c r="F633" s="25"/>
      <c r="G633" s="25"/>
      <c r="H633" s="25"/>
    </row>
    <row r="634">
      <c r="A634" s="6"/>
      <c r="B634" s="6"/>
      <c r="C634" s="6"/>
      <c r="D634" s="21"/>
      <c r="E634" s="22"/>
      <c r="F634" s="22"/>
      <c r="G634" s="22"/>
      <c r="H634" s="22"/>
    </row>
    <row r="635">
      <c r="A635" s="11"/>
      <c r="B635" s="11"/>
      <c r="C635" s="11"/>
      <c r="D635" s="24"/>
      <c r="E635" s="25"/>
      <c r="F635" s="25"/>
      <c r="G635" s="25"/>
      <c r="H635" s="25"/>
    </row>
    <row r="636">
      <c r="A636" s="6"/>
      <c r="B636" s="6"/>
      <c r="C636" s="6"/>
      <c r="D636" s="21"/>
      <c r="E636" s="22"/>
      <c r="F636" s="22"/>
      <c r="G636" s="22"/>
      <c r="H636" s="22"/>
    </row>
    <row r="637">
      <c r="A637" s="11"/>
      <c r="B637" s="11"/>
      <c r="C637" s="11"/>
      <c r="D637" s="24"/>
      <c r="E637" s="25"/>
      <c r="F637" s="25"/>
      <c r="G637" s="25"/>
      <c r="H637" s="25"/>
    </row>
    <row r="638">
      <c r="A638" s="6"/>
      <c r="B638" s="6"/>
      <c r="C638" s="6"/>
      <c r="D638" s="21"/>
      <c r="E638" s="22"/>
      <c r="F638" s="22"/>
      <c r="G638" s="22"/>
      <c r="H638" s="22"/>
    </row>
    <row r="639">
      <c r="A639" s="11"/>
      <c r="B639" s="11"/>
      <c r="C639" s="11"/>
      <c r="D639" s="24"/>
      <c r="E639" s="25"/>
      <c r="F639" s="25"/>
      <c r="G639" s="25"/>
      <c r="H639" s="25"/>
    </row>
    <row r="640">
      <c r="A640" s="6"/>
      <c r="B640" s="6"/>
      <c r="C640" s="6"/>
      <c r="D640" s="21"/>
      <c r="E640" s="22"/>
      <c r="F640" s="22"/>
      <c r="G640" s="22"/>
      <c r="H640" s="22"/>
    </row>
    <row r="641">
      <c r="A641" s="11"/>
      <c r="B641" s="11"/>
      <c r="C641" s="11"/>
      <c r="D641" s="24"/>
      <c r="E641" s="25"/>
      <c r="F641" s="25"/>
      <c r="G641" s="25"/>
      <c r="H641" s="25"/>
    </row>
    <row r="642">
      <c r="A642" s="6"/>
      <c r="B642" s="6"/>
      <c r="C642" s="6"/>
      <c r="D642" s="21"/>
      <c r="E642" s="22"/>
      <c r="F642" s="22"/>
      <c r="G642" s="22"/>
      <c r="H642" s="22"/>
    </row>
    <row r="643">
      <c r="A643" s="11"/>
      <c r="B643" s="11"/>
      <c r="C643" s="11"/>
      <c r="D643" s="24"/>
      <c r="E643" s="25"/>
      <c r="F643" s="25"/>
      <c r="G643" s="25"/>
      <c r="H643" s="25"/>
    </row>
    <row r="644">
      <c r="A644" s="6"/>
      <c r="B644" s="6"/>
      <c r="C644" s="6"/>
      <c r="D644" s="21"/>
      <c r="E644" s="22"/>
      <c r="F644" s="22"/>
      <c r="G644" s="22"/>
      <c r="H644" s="22"/>
    </row>
    <row r="645">
      <c r="A645" s="11"/>
      <c r="B645" s="11"/>
      <c r="C645" s="11"/>
      <c r="D645" s="24"/>
      <c r="E645" s="25"/>
      <c r="F645" s="25"/>
      <c r="G645" s="25"/>
      <c r="H645" s="25"/>
    </row>
    <row r="646">
      <c r="A646" s="6"/>
      <c r="B646" s="6"/>
      <c r="C646" s="6"/>
      <c r="D646" s="21"/>
      <c r="E646" s="22"/>
      <c r="F646" s="22"/>
      <c r="G646" s="22"/>
      <c r="H646" s="22"/>
    </row>
    <row r="647">
      <c r="A647" s="11"/>
      <c r="B647" s="11"/>
      <c r="C647" s="11"/>
      <c r="D647" s="24"/>
      <c r="E647" s="25"/>
      <c r="F647" s="25"/>
      <c r="G647" s="25"/>
      <c r="H647" s="25"/>
    </row>
    <row r="648">
      <c r="A648" s="6"/>
      <c r="B648" s="6"/>
      <c r="C648" s="6"/>
      <c r="D648" s="21"/>
      <c r="E648" s="22"/>
      <c r="F648" s="22"/>
      <c r="G648" s="22"/>
      <c r="H648" s="22"/>
    </row>
    <row r="649">
      <c r="A649" s="11"/>
      <c r="B649" s="11"/>
      <c r="C649" s="11"/>
      <c r="D649" s="24"/>
      <c r="E649" s="25"/>
      <c r="F649" s="25"/>
      <c r="G649" s="25"/>
      <c r="H649" s="25"/>
    </row>
    <row r="650">
      <c r="A650" s="6"/>
      <c r="B650" s="6"/>
      <c r="C650" s="6"/>
      <c r="D650" s="21"/>
      <c r="E650" s="22"/>
      <c r="F650" s="22"/>
      <c r="G650" s="22"/>
      <c r="H650" s="22"/>
    </row>
    <row r="651">
      <c r="A651" s="11"/>
      <c r="B651" s="11"/>
      <c r="C651" s="11"/>
      <c r="D651" s="24"/>
      <c r="E651" s="25"/>
      <c r="F651" s="25"/>
      <c r="G651" s="25"/>
      <c r="H651" s="25"/>
    </row>
    <row r="652">
      <c r="A652" s="6"/>
      <c r="B652" s="6"/>
      <c r="C652" s="6"/>
      <c r="D652" s="21"/>
      <c r="E652" s="22"/>
      <c r="F652" s="22"/>
      <c r="G652" s="22"/>
      <c r="H652" s="22"/>
    </row>
    <row r="653">
      <c r="A653" s="11"/>
      <c r="B653" s="11"/>
      <c r="C653" s="11"/>
      <c r="D653" s="24"/>
      <c r="E653" s="25"/>
      <c r="F653" s="25"/>
      <c r="G653" s="25"/>
      <c r="H653" s="25"/>
    </row>
    <row r="654">
      <c r="A654" s="6"/>
      <c r="B654" s="6"/>
      <c r="C654" s="6"/>
      <c r="D654" s="21"/>
      <c r="E654" s="22"/>
      <c r="F654" s="22"/>
      <c r="G654" s="22"/>
      <c r="H654" s="22"/>
    </row>
    <row r="655">
      <c r="A655" s="11"/>
      <c r="B655" s="11"/>
      <c r="C655" s="11"/>
      <c r="D655" s="24"/>
      <c r="E655" s="25"/>
      <c r="F655" s="25"/>
      <c r="G655" s="25"/>
      <c r="H655" s="25"/>
    </row>
    <row r="656">
      <c r="A656" s="6"/>
      <c r="B656" s="6"/>
      <c r="C656" s="6"/>
      <c r="D656" s="21"/>
      <c r="E656" s="22"/>
      <c r="F656" s="22"/>
      <c r="G656" s="22"/>
      <c r="H656" s="22"/>
    </row>
    <row r="657">
      <c r="A657" s="11"/>
      <c r="B657" s="11"/>
      <c r="C657" s="11"/>
      <c r="D657" s="24"/>
      <c r="E657" s="25"/>
      <c r="F657" s="25"/>
      <c r="G657" s="25"/>
      <c r="H657" s="25"/>
    </row>
    <row r="658">
      <c r="A658" s="6"/>
      <c r="B658" s="6"/>
      <c r="C658" s="6"/>
      <c r="D658" s="21"/>
      <c r="E658" s="22"/>
      <c r="F658" s="22"/>
      <c r="G658" s="22"/>
      <c r="H658" s="22"/>
    </row>
    <row r="659">
      <c r="A659" s="11"/>
      <c r="B659" s="11"/>
      <c r="C659" s="11"/>
      <c r="D659" s="24"/>
      <c r="E659" s="25"/>
      <c r="F659" s="25"/>
      <c r="G659" s="25"/>
      <c r="H659" s="25"/>
    </row>
    <row r="660">
      <c r="A660" s="6"/>
      <c r="B660" s="6"/>
      <c r="C660" s="6"/>
      <c r="D660" s="21"/>
      <c r="E660" s="22"/>
      <c r="F660" s="22"/>
      <c r="G660" s="22"/>
      <c r="H660" s="22"/>
    </row>
    <row r="661">
      <c r="A661" s="11"/>
      <c r="B661" s="11"/>
      <c r="C661" s="11"/>
      <c r="D661" s="24"/>
      <c r="E661" s="25"/>
      <c r="F661" s="25"/>
      <c r="G661" s="25"/>
      <c r="H661" s="25"/>
    </row>
    <row r="662">
      <c r="A662" s="6"/>
      <c r="B662" s="6"/>
      <c r="C662" s="6"/>
      <c r="D662" s="21"/>
      <c r="E662" s="22"/>
      <c r="F662" s="22"/>
      <c r="G662" s="22"/>
      <c r="H662" s="22"/>
    </row>
    <row r="663">
      <c r="A663" s="11"/>
      <c r="B663" s="11"/>
      <c r="C663" s="11"/>
      <c r="D663" s="24"/>
      <c r="E663" s="25"/>
      <c r="F663" s="25"/>
      <c r="G663" s="25"/>
      <c r="H663" s="25"/>
    </row>
    <row r="664">
      <c r="A664" s="6"/>
      <c r="B664" s="6"/>
      <c r="C664" s="6"/>
      <c r="D664" s="21"/>
      <c r="E664" s="22"/>
      <c r="F664" s="22"/>
      <c r="G664" s="22"/>
      <c r="H664" s="22"/>
    </row>
    <row r="665">
      <c r="A665" s="11"/>
      <c r="B665" s="11"/>
      <c r="C665" s="11"/>
      <c r="D665" s="24"/>
      <c r="E665" s="25"/>
      <c r="F665" s="25"/>
      <c r="G665" s="25"/>
      <c r="H665" s="25"/>
    </row>
    <row r="666">
      <c r="A666" s="6"/>
      <c r="B666" s="6"/>
      <c r="C666" s="6"/>
      <c r="D666" s="21"/>
      <c r="E666" s="22"/>
      <c r="F666" s="22"/>
      <c r="G666" s="22"/>
      <c r="H666" s="22"/>
    </row>
    <row r="667">
      <c r="A667" s="11"/>
      <c r="B667" s="11"/>
      <c r="C667" s="11"/>
      <c r="D667" s="24"/>
      <c r="E667" s="25"/>
      <c r="F667" s="25"/>
      <c r="G667" s="25"/>
      <c r="H667" s="25"/>
    </row>
    <row r="668">
      <c r="A668" s="6"/>
      <c r="B668" s="6"/>
      <c r="C668" s="6"/>
      <c r="D668" s="21"/>
      <c r="E668" s="22"/>
      <c r="F668" s="22"/>
      <c r="G668" s="22"/>
      <c r="H668" s="22"/>
    </row>
    <row r="669">
      <c r="A669" s="11"/>
      <c r="B669" s="11"/>
      <c r="C669" s="11"/>
      <c r="D669" s="24"/>
      <c r="E669" s="25"/>
      <c r="F669" s="25"/>
      <c r="G669" s="25"/>
      <c r="H669" s="25"/>
    </row>
    <row r="670">
      <c r="A670" s="6"/>
      <c r="B670" s="6"/>
      <c r="C670" s="6"/>
      <c r="D670" s="21"/>
      <c r="E670" s="22"/>
      <c r="F670" s="22"/>
      <c r="G670" s="22"/>
      <c r="H670" s="22"/>
    </row>
    <row r="671">
      <c r="A671" s="11"/>
      <c r="B671" s="11"/>
      <c r="C671" s="11"/>
      <c r="D671" s="24"/>
      <c r="E671" s="25"/>
      <c r="F671" s="25"/>
      <c r="G671" s="25"/>
      <c r="H671" s="25"/>
    </row>
    <row r="672">
      <c r="A672" s="6"/>
      <c r="B672" s="6"/>
      <c r="C672" s="6"/>
      <c r="D672" s="21"/>
      <c r="E672" s="22"/>
      <c r="F672" s="22"/>
      <c r="G672" s="22"/>
      <c r="H672" s="22"/>
    </row>
    <row r="673">
      <c r="A673" s="11"/>
      <c r="B673" s="11"/>
      <c r="C673" s="11"/>
      <c r="D673" s="24"/>
      <c r="E673" s="25"/>
      <c r="F673" s="25"/>
      <c r="G673" s="25"/>
      <c r="H673" s="25"/>
    </row>
    <row r="674">
      <c r="A674" s="6"/>
      <c r="B674" s="6"/>
      <c r="C674" s="6"/>
      <c r="D674" s="21"/>
      <c r="E674" s="22"/>
      <c r="F674" s="22"/>
      <c r="G674" s="22"/>
      <c r="H674" s="22"/>
    </row>
    <row r="675">
      <c r="A675" s="11"/>
      <c r="B675" s="11"/>
      <c r="C675" s="11"/>
      <c r="D675" s="24"/>
      <c r="E675" s="25"/>
      <c r="F675" s="25"/>
      <c r="G675" s="25"/>
      <c r="H675" s="25"/>
    </row>
    <row r="676">
      <c r="A676" s="6"/>
      <c r="B676" s="6"/>
      <c r="C676" s="6"/>
      <c r="D676" s="21"/>
      <c r="E676" s="22"/>
      <c r="F676" s="22"/>
      <c r="G676" s="22"/>
      <c r="H676" s="22"/>
    </row>
    <row r="677">
      <c r="A677" s="11"/>
      <c r="B677" s="11"/>
      <c r="C677" s="11"/>
      <c r="D677" s="24"/>
      <c r="E677" s="25"/>
      <c r="F677" s="25"/>
      <c r="G677" s="25"/>
      <c r="H677" s="25"/>
    </row>
    <row r="678">
      <c r="A678" s="6"/>
      <c r="B678" s="6"/>
      <c r="C678" s="6"/>
      <c r="D678" s="21"/>
      <c r="E678" s="22"/>
      <c r="F678" s="22"/>
      <c r="G678" s="22"/>
      <c r="H678" s="22"/>
    </row>
    <row r="679">
      <c r="A679" s="11"/>
      <c r="B679" s="11"/>
      <c r="C679" s="11"/>
      <c r="D679" s="24"/>
      <c r="E679" s="25"/>
      <c r="F679" s="25"/>
      <c r="G679" s="25"/>
      <c r="H679" s="25"/>
    </row>
    <row r="680">
      <c r="A680" s="6"/>
      <c r="B680" s="6"/>
      <c r="C680" s="6"/>
      <c r="D680" s="21"/>
      <c r="E680" s="22"/>
      <c r="F680" s="22"/>
      <c r="G680" s="22"/>
      <c r="H680" s="22"/>
    </row>
    <row r="681">
      <c r="A681" s="11"/>
      <c r="B681" s="11"/>
      <c r="C681" s="11"/>
      <c r="D681" s="24"/>
      <c r="E681" s="25"/>
      <c r="F681" s="25"/>
      <c r="G681" s="25"/>
      <c r="H681" s="25"/>
    </row>
    <row r="682">
      <c r="A682" s="6"/>
      <c r="B682" s="6"/>
      <c r="C682" s="6"/>
      <c r="D682" s="21"/>
      <c r="E682" s="22"/>
      <c r="F682" s="22"/>
      <c r="G682" s="22"/>
      <c r="H682" s="22"/>
    </row>
    <row r="683">
      <c r="A683" s="11"/>
      <c r="B683" s="11"/>
      <c r="C683" s="11"/>
      <c r="D683" s="24"/>
      <c r="E683" s="25"/>
      <c r="F683" s="25"/>
      <c r="G683" s="25"/>
      <c r="H683" s="25"/>
    </row>
    <row r="684">
      <c r="A684" s="6"/>
      <c r="B684" s="6"/>
      <c r="C684" s="6"/>
      <c r="D684" s="21"/>
      <c r="E684" s="22"/>
      <c r="F684" s="22"/>
      <c r="G684" s="22"/>
      <c r="H684" s="22"/>
    </row>
    <row r="685">
      <c r="A685" s="11"/>
      <c r="B685" s="11"/>
      <c r="C685" s="11"/>
      <c r="D685" s="24"/>
      <c r="E685" s="25"/>
      <c r="F685" s="25"/>
      <c r="G685" s="25"/>
      <c r="H685" s="25"/>
    </row>
    <row r="686">
      <c r="A686" s="6"/>
      <c r="B686" s="6"/>
      <c r="C686" s="6"/>
      <c r="D686" s="21"/>
      <c r="E686" s="22"/>
      <c r="F686" s="22"/>
      <c r="G686" s="22"/>
      <c r="H686" s="22"/>
    </row>
    <row r="687">
      <c r="A687" s="11"/>
      <c r="B687" s="11"/>
      <c r="C687" s="11"/>
      <c r="D687" s="24"/>
      <c r="E687" s="25"/>
      <c r="F687" s="25"/>
      <c r="G687" s="25"/>
      <c r="H687" s="25"/>
    </row>
    <row r="688">
      <c r="A688" s="6"/>
      <c r="B688" s="6"/>
      <c r="C688" s="6"/>
      <c r="D688" s="21"/>
      <c r="E688" s="22"/>
      <c r="F688" s="22"/>
      <c r="G688" s="22"/>
      <c r="H688" s="22"/>
    </row>
    <row r="689">
      <c r="A689" s="11"/>
      <c r="B689" s="11"/>
      <c r="C689" s="11"/>
      <c r="D689" s="24"/>
      <c r="E689" s="25"/>
      <c r="F689" s="25"/>
      <c r="G689" s="25"/>
      <c r="H689" s="25"/>
    </row>
    <row r="690">
      <c r="A690" s="6"/>
      <c r="B690" s="6"/>
      <c r="C690" s="6"/>
      <c r="D690" s="21"/>
      <c r="E690" s="22"/>
      <c r="F690" s="22"/>
      <c r="G690" s="22"/>
      <c r="H690" s="22"/>
    </row>
    <row r="691">
      <c r="A691" s="11"/>
      <c r="B691" s="11"/>
      <c r="C691" s="11"/>
      <c r="D691" s="24"/>
      <c r="E691" s="25"/>
      <c r="F691" s="25"/>
      <c r="G691" s="25"/>
      <c r="H691" s="25"/>
    </row>
    <row r="692">
      <c r="A692" s="6"/>
      <c r="B692" s="6"/>
      <c r="C692" s="6"/>
      <c r="D692" s="21"/>
      <c r="E692" s="22"/>
      <c r="F692" s="22"/>
      <c r="G692" s="22"/>
      <c r="H692" s="22"/>
    </row>
    <row r="693">
      <c r="A693" s="11"/>
      <c r="B693" s="11"/>
      <c r="C693" s="11"/>
      <c r="D693" s="24"/>
      <c r="E693" s="25"/>
      <c r="F693" s="25"/>
      <c r="G693" s="25"/>
      <c r="H693" s="25"/>
    </row>
    <row r="694">
      <c r="A694" s="6"/>
      <c r="B694" s="6"/>
      <c r="C694" s="6"/>
      <c r="D694" s="21"/>
      <c r="E694" s="22"/>
      <c r="F694" s="22"/>
      <c r="G694" s="22"/>
      <c r="H694" s="22"/>
    </row>
    <row r="695">
      <c r="A695" s="11"/>
      <c r="B695" s="11"/>
      <c r="C695" s="11"/>
      <c r="D695" s="24"/>
      <c r="E695" s="25"/>
      <c r="F695" s="25"/>
      <c r="G695" s="25"/>
      <c r="H695" s="25"/>
    </row>
    <row r="696">
      <c r="A696" s="6"/>
      <c r="B696" s="6"/>
      <c r="C696" s="6"/>
      <c r="D696" s="21"/>
      <c r="E696" s="22"/>
      <c r="F696" s="22"/>
      <c r="G696" s="22"/>
      <c r="H696" s="22"/>
    </row>
    <row r="697">
      <c r="A697" s="11"/>
      <c r="B697" s="11"/>
      <c r="C697" s="11"/>
      <c r="D697" s="24"/>
      <c r="E697" s="25"/>
      <c r="F697" s="25"/>
      <c r="G697" s="25"/>
      <c r="H697" s="25"/>
    </row>
    <row r="698">
      <c r="A698" s="6"/>
      <c r="B698" s="6"/>
      <c r="C698" s="6"/>
      <c r="D698" s="21"/>
      <c r="E698" s="22"/>
      <c r="F698" s="22"/>
      <c r="G698" s="22"/>
      <c r="H698" s="22"/>
    </row>
    <row r="699">
      <c r="A699" s="11"/>
      <c r="B699" s="11"/>
      <c r="C699" s="11"/>
      <c r="D699" s="24"/>
      <c r="E699" s="25"/>
      <c r="F699" s="25"/>
      <c r="G699" s="25"/>
      <c r="H699" s="25"/>
    </row>
    <row r="700">
      <c r="A700" s="6"/>
      <c r="B700" s="6"/>
      <c r="C700" s="6"/>
      <c r="D700" s="21"/>
      <c r="E700" s="22"/>
      <c r="F700" s="22"/>
      <c r="G700" s="22"/>
      <c r="H700" s="22"/>
    </row>
    <row r="701">
      <c r="A701" s="11"/>
      <c r="B701" s="11"/>
      <c r="C701" s="11"/>
      <c r="D701" s="24"/>
      <c r="E701" s="25"/>
      <c r="F701" s="25"/>
      <c r="G701" s="25"/>
      <c r="H701" s="25"/>
    </row>
    <row r="702">
      <c r="A702" s="6"/>
      <c r="B702" s="6"/>
      <c r="C702" s="6"/>
      <c r="D702" s="21"/>
      <c r="E702" s="22"/>
      <c r="F702" s="22"/>
      <c r="G702" s="22"/>
      <c r="H702" s="22"/>
    </row>
    <row r="703">
      <c r="A703" s="11"/>
      <c r="B703" s="11"/>
      <c r="C703" s="11"/>
      <c r="D703" s="24"/>
      <c r="E703" s="25"/>
      <c r="F703" s="25"/>
      <c r="G703" s="25"/>
      <c r="H703" s="25"/>
    </row>
    <row r="704">
      <c r="A704" s="6"/>
      <c r="B704" s="6"/>
      <c r="C704" s="6"/>
      <c r="D704" s="21"/>
      <c r="E704" s="22"/>
      <c r="F704" s="22"/>
      <c r="G704" s="22"/>
      <c r="H704" s="22"/>
    </row>
    <row r="705">
      <c r="A705" s="11"/>
      <c r="B705" s="11"/>
      <c r="C705" s="11"/>
      <c r="D705" s="24"/>
      <c r="E705" s="25"/>
      <c r="F705" s="25"/>
      <c r="G705" s="25"/>
      <c r="H705" s="25"/>
    </row>
    <row r="706">
      <c r="A706" s="6"/>
      <c r="B706" s="6"/>
      <c r="C706" s="6"/>
      <c r="D706" s="21"/>
      <c r="E706" s="22"/>
      <c r="F706" s="22"/>
      <c r="G706" s="22"/>
      <c r="H706" s="22"/>
    </row>
    <row r="707">
      <c r="A707" s="11"/>
      <c r="B707" s="11"/>
      <c r="C707" s="11"/>
      <c r="D707" s="24"/>
      <c r="E707" s="25"/>
      <c r="F707" s="25"/>
      <c r="G707" s="25"/>
      <c r="H707" s="25"/>
    </row>
    <row r="708">
      <c r="A708" s="6"/>
      <c r="B708" s="6"/>
      <c r="C708" s="6"/>
      <c r="D708" s="21"/>
      <c r="E708" s="22"/>
      <c r="F708" s="22"/>
      <c r="G708" s="22"/>
      <c r="H708" s="22"/>
    </row>
    <row r="709">
      <c r="A709" s="11"/>
      <c r="B709" s="11"/>
      <c r="C709" s="11"/>
      <c r="D709" s="24"/>
      <c r="E709" s="25"/>
      <c r="F709" s="25"/>
      <c r="G709" s="25"/>
      <c r="H709" s="25"/>
    </row>
    <row r="710">
      <c r="A710" s="6"/>
      <c r="B710" s="6"/>
      <c r="C710" s="6"/>
      <c r="D710" s="21"/>
      <c r="E710" s="22"/>
      <c r="F710" s="22"/>
      <c r="G710" s="22"/>
      <c r="H710" s="22"/>
    </row>
    <row r="711">
      <c r="A711" s="11"/>
      <c r="B711" s="11"/>
      <c r="C711" s="11"/>
      <c r="D711" s="24"/>
      <c r="E711" s="25"/>
      <c r="F711" s="25"/>
      <c r="G711" s="25"/>
      <c r="H711" s="25"/>
    </row>
    <row r="712">
      <c r="A712" s="6"/>
      <c r="B712" s="6"/>
      <c r="C712" s="6"/>
      <c r="D712" s="21"/>
      <c r="E712" s="22"/>
      <c r="F712" s="22"/>
      <c r="G712" s="22"/>
      <c r="H712" s="22"/>
    </row>
    <row r="713">
      <c r="A713" s="11"/>
      <c r="B713" s="11"/>
      <c r="C713" s="11"/>
      <c r="D713" s="24"/>
      <c r="E713" s="25"/>
      <c r="F713" s="25"/>
      <c r="G713" s="25"/>
      <c r="H713" s="25"/>
    </row>
    <row r="714">
      <c r="A714" s="6"/>
      <c r="B714" s="6"/>
      <c r="C714" s="6"/>
      <c r="D714" s="21"/>
      <c r="E714" s="22"/>
      <c r="F714" s="22"/>
      <c r="G714" s="22"/>
      <c r="H714" s="22"/>
    </row>
    <row r="715">
      <c r="A715" s="11"/>
      <c r="B715" s="11"/>
      <c r="C715" s="11"/>
      <c r="D715" s="24"/>
      <c r="E715" s="25"/>
      <c r="F715" s="25"/>
      <c r="G715" s="25"/>
      <c r="H715" s="25"/>
    </row>
    <row r="716">
      <c r="A716" s="6"/>
      <c r="B716" s="6"/>
      <c r="C716" s="6"/>
      <c r="D716" s="21"/>
      <c r="E716" s="22"/>
      <c r="F716" s="22"/>
      <c r="G716" s="22"/>
      <c r="H716" s="22"/>
    </row>
    <row r="717">
      <c r="A717" s="11"/>
      <c r="B717" s="11"/>
      <c r="C717" s="11"/>
      <c r="D717" s="24"/>
      <c r="E717" s="25"/>
      <c r="F717" s="25"/>
      <c r="G717" s="25"/>
      <c r="H717" s="25"/>
    </row>
    <row r="718">
      <c r="A718" s="6"/>
      <c r="B718" s="6"/>
      <c r="C718" s="6"/>
      <c r="D718" s="21"/>
      <c r="E718" s="22"/>
      <c r="F718" s="22"/>
      <c r="G718" s="22"/>
      <c r="H718" s="22"/>
    </row>
    <row r="719">
      <c r="A719" s="11"/>
      <c r="B719" s="11"/>
      <c r="C719" s="11"/>
      <c r="D719" s="24"/>
      <c r="E719" s="25"/>
      <c r="F719" s="25"/>
      <c r="G719" s="25"/>
      <c r="H719" s="25"/>
    </row>
    <row r="720">
      <c r="A720" s="6"/>
      <c r="B720" s="6"/>
      <c r="C720" s="6"/>
      <c r="D720" s="21"/>
      <c r="E720" s="22"/>
      <c r="F720" s="22"/>
      <c r="G720" s="22"/>
      <c r="H720" s="22"/>
    </row>
    <row r="721">
      <c r="A721" s="11"/>
      <c r="B721" s="11"/>
      <c r="C721" s="11"/>
      <c r="D721" s="24"/>
      <c r="E721" s="25"/>
      <c r="F721" s="25"/>
      <c r="G721" s="25"/>
      <c r="H721" s="25"/>
    </row>
    <row r="722">
      <c r="A722" s="6"/>
      <c r="B722" s="6"/>
      <c r="C722" s="6"/>
      <c r="D722" s="21"/>
      <c r="E722" s="22"/>
      <c r="F722" s="22"/>
      <c r="G722" s="22"/>
      <c r="H722" s="22"/>
    </row>
    <row r="723">
      <c r="A723" s="11"/>
      <c r="B723" s="11"/>
      <c r="C723" s="11"/>
      <c r="D723" s="24"/>
      <c r="E723" s="25"/>
      <c r="F723" s="25"/>
      <c r="G723" s="25"/>
      <c r="H723" s="25"/>
    </row>
    <row r="724">
      <c r="A724" s="6"/>
      <c r="B724" s="6"/>
      <c r="C724" s="6"/>
      <c r="D724" s="21"/>
      <c r="E724" s="22"/>
      <c r="F724" s="22"/>
      <c r="G724" s="22"/>
      <c r="H724" s="22"/>
    </row>
    <row r="725">
      <c r="A725" s="11"/>
      <c r="B725" s="11"/>
      <c r="C725" s="11"/>
      <c r="D725" s="24"/>
      <c r="E725" s="25"/>
      <c r="F725" s="25"/>
      <c r="G725" s="25"/>
      <c r="H725" s="25"/>
    </row>
    <row r="726">
      <c r="A726" s="6"/>
      <c r="B726" s="6"/>
      <c r="C726" s="6"/>
      <c r="D726" s="21"/>
      <c r="E726" s="22"/>
      <c r="F726" s="22"/>
      <c r="G726" s="22"/>
      <c r="H726" s="22"/>
    </row>
    <row r="727">
      <c r="A727" s="11"/>
      <c r="B727" s="11"/>
      <c r="C727" s="11"/>
      <c r="D727" s="24"/>
      <c r="E727" s="25"/>
      <c r="F727" s="25"/>
      <c r="G727" s="25"/>
      <c r="H727" s="25"/>
    </row>
    <row r="728">
      <c r="A728" s="6"/>
      <c r="B728" s="6"/>
      <c r="C728" s="6"/>
      <c r="D728" s="21"/>
      <c r="E728" s="22"/>
      <c r="F728" s="22"/>
      <c r="G728" s="22"/>
      <c r="H728" s="22"/>
    </row>
    <row r="729">
      <c r="A729" s="11"/>
      <c r="B729" s="11"/>
      <c r="C729" s="11"/>
      <c r="D729" s="24"/>
      <c r="E729" s="25"/>
      <c r="F729" s="25"/>
      <c r="G729" s="25"/>
      <c r="H729" s="25"/>
    </row>
    <row r="730">
      <c r="A730" s="6"/>
      <c r="B730" s="6"/>
      <c r="C730" s="6"/>
      <c r="D730" s="21"/>
      <c r="E730" s="22"/>
      <c r="F730" s="22"/>
      <c r="G730" s="22"/>
      <c r="H730" s="22"/>
    </row>
    <row r="731">
      <c r="A731" s="11"/>
      <c r="B731" s="11"/>
      <c r="C731" s="11"/>
      <c r="D731" s="24"/>
      <c r="E731" s="25"/>
      <c r="F731" s="25"/>
      <c r="G731" s="25"/>
      <c r="H731" s="25"/>
    </row>
    <row r="732">
      <c r="A732" s="6"/>
      <c r="B732" s="6"/>
      <c r="C732" s="6"/>
      <c r="D732" s="21"/>
      <c r="E732" s="22"/>
      <c r="F732" s="22"/>
      <c r="G732" s="22"/>
      <c r="H732" s="22"/>
    </row>
    <row r="733">
      <c r="A733" s="11"/>
      <c r="B733" s="11"/>
      <c r="C733" s="11"/>
      <c r="D733" s="24"/>
      <c r="E733" s="25"/>
      <c r="F733" s="25"/>
      <c r="G733" s="25"/>
      <c r="H733" s="25"/>
    </row>
    <row r="734">
      <c r="A734" s="6"/>
      <c r="B734" s="6"/>
      <c r="C734" s="6"/>
      <c r="D734" s="21"/>
      <c r="E734" s="22"/>
      <c r="F734" s="22"/>
      <c r="G734" s="22"/>
      <c r="H734" s="22"/>
    </row>
    <row r="735">
      <c r="A735" s="11"/>
      <c r="B735" s="11"/>
      <c r="C735" s="11"/>
      <c r="D735" s="24"/>
      <c r="E735" s="25"/>
      <c r="F735" s="25"/>
      <c r="G735" s="25"/>
      <c r="H735" s="25"/>
    </row>
    <row r="736">
      <c r="A736" s="6"/>
      <c r="B736" s="6"/>
      <c r="C736" s="6"/>
      <c r="D736" s="21"/>
      <c r="E736" s="22"/>
      <c r="F736" s="22"/>
      <c r="G736" s="22"/>
      <c r="H736" s="22"/>
    </row>
    <row r="737">
      <c r="A737" s="11"/>
      <c r="B737" s="11"/>
      <c r="C737" s="11"/>
      <c r="D737" s="24"/>
      <c r="E737" s="25"/>
      <c r="F737" s="25"/>
      <c r="G737" s="25"/>
      <c r="H737" s="25"/>
    </row>
    <row r="738">
      <c r="A738" s="6"/>
      <c r="B738" s="6"/>
      <c r="C738" s="6"/>
      <c r="D738" s="21"/>
      <c r="E738" s="22"/>
      <c r="F738" s="22"/>
      <c r="G738" s="22"/>
      <c r="H738" s="22"/>
    </row>
    <row r="739">
      <c r="A739" s="11"/>
      <c r="B739" s="11"/>
      <c r="C739" s="11"/>
      <c r="D739" s="24"/>
      <c r="E739" s="25"/>
      <c r="F739" s="25"/>
      <c r="G739" s="25"/>
      <c r="H739" s="25"/>
    </row>
    <row r="740">
      <c r="A740" s="6"/>
      <c r="B740" s="6"/>
      <c r="C740" s="6"/>
      <c r="D740" s="21"/>
      <c r="E740" s="22"/>
      <c r="F740" s="22"/>
      <c r="G740" s="22"/>
      <c r="H740" s="22"/>
    </row>
    <row r="741">
      <c r="A741" s="11"/>
      <c r="B741" s="11"/>
      <c r="C741" s="11"/>
      <c r="D741" s="24"/>
      <c r="E741" s="25"/>
      <c r="F741" s="25"/>
      <c r="G741" s="25"/>
      <c r="H741" s="25"/>
    </row>
    <row r="742">
      <c r="A742" s="6"/>
      <c r="B742" s="6"/>
      <c r="C742" s="6"/>
      <c r="D742" s="21"/>
      <c r="E742" s="22"/>
      <c r="F742" s="22"/>
      <c r="G742" s="22"/>
      <c r="H742" s="22"/>
    </row>
    <row r="743">
      <c r="A743" s="11"/>
      <c r="B743" s="11"/>
      <c r="C743" s="11"/>
      <c r="D743" s="24"/>
      <c r="E743" s="25"/>
      <c r="F743" s="25"/>
      <c r="G743" s="25"/>
      <c r="H743" s="25"/>
    </row>
    <row r="744">
      <c r="A744" s="6"/>
      <c r="B744" s="6"/>
      <c r="C744" s="6"/>
      <c r="D744" s="21"/>
      <c r="E744" s="22"/>
      <c r="F744" s="22"/>
      <c r="G744" s="22"/>
      <c r="H744" s="22"/>
    </row>
    <row r="745">
      <c r="A745" s="11"/>
      <c r="B745" s="11"/>
      <c r="C745" s="11"/>
      <c r="D745" s="24"/>
      <c r="E745" s="25"/>
      <c r="F745" s="25"/>
      <c r="G745" s="25"/>
      <c r="H745" s="25"/>
    </row>
    <row r="746">
      <c r="A746" s="6"/>
      <c r="B746" s="6"/>
      <c r="C746" s="6"/>
      <c r="D746" s="21"/>
      <c r="E746" s="22"/>
      <c r="F746" s="22"/>
      <c r="G746" s="22"/>
      <c r="H746" s="22"/>
    </row>
    <row r="747">
      <c r="A747" s="11"/>
      <c r="B747" s="11"/>
      <c r="C747" s="11"/>
      <c r="D747" s="24"/>
      <c r="E747" s="25"/>
      <c r="F747" s="25"/>
      <c r="G747" s="25"/>
      <c r="H747" s="25"/>
    </row>
    <row r="748">
      <c r="A748" s="6"/>
      <c r="B748" s="6"/>
      <c r="C748" s="6"/>
      <c r="D748" s="21"/>
      <c r="E748" s="22"/>
      <c r="F748" s="22"/>
      <c r="G748" s="22"/>
      <c r="H748" s="22"/>
    </row>
    <row r="749">
      <c r="A749" s="11"/>
      <c r="B749" s="11"/>
      <c r="C749" s="11"/>
      <c r="D749" s="24"/>
      <c r="E749" s="25"/>
      <c r="F749" s="25"/>
      <c r="G749" s="25"/>
      <c r="H749" s="25"/>
    </row>
    <row r="750">
      <c r="A750" s="6"/>
      <c r="B750" s="6"/>
      <c r="C750" s="6"/>
      <c r="D750" s="21"/>
      <c r="E750" s="22"/>
      <c r="F750" s="22"/>
      <c r="G750" s="22"/>
      <c r="H750" s="22"/>
    </row>
    <row r="751">
      <c r="A751" s="11"/>
      <c r="B751" s="11"/>
      <c r="C751" s="11"/>
      <c r="D751" s="24"/>
      <c r="E751" s="25"/>
      <c r="F751" s="25"/>
      <c r="G751" s="25"/>
      <c r="H751" s="25"/>
    </row>
    <row r="752">
      <c r="A752" s="6"/>
      <c r="B752" s="6"/>
      <c r="C752" s="6"/>
      <c r="D752" s="21"/>
      <c r="E752" s="22"/>
      <c r="F752" s="22"/>
      <c r="G752" s="22"/>
      <c r="H752" s="22"/>
    </row>
    <row r="753">
      <c r="A753" s="11"/>
      <c r="B753" s="11"/>
      <c r="C753" s="11"/>
      <c r="D753" s="24"/>
      <c r="E753" s="25"/>
      <c r="F753" s="25"/>
      <c r="G753" s="25"/>
      <c r="H753" s="25"/>
    </row>
    <row r="754">
      <c r="A754" s="6"/>
      <c r="B754" s="6"/>
      <c r="C754" s="6"/>
      <c r="D754" s="21"/>
      <c r="E754" s="22"/>
      <c r="F754" s="22"/>
      <c r="G754" s="22"/>
      <c r="H754" s="22"/>
    </row>
    <row r="755">
      <c r="A755" s="11"/>
      <c r="B755" s="11"/>
      <c r="C755" s="11"/>
      <c r="D755" s="24"/>
      <c r="E755" s="25"/>
      <c r="F755" s="25"/>
      <c r="G755" s="25"/>
      <c r="H755" s="25"/>
    </row>
    <row r="756">
      <c r="A756" s="6"/>
      <c r="B756" s="6"/>
      <c r="C756" s="6"/>
      <c r="D756" s="21"/>
      <c r="E756" s="22"/>
      <c r="F756" s="22"/>
      <c r="G756" s="22"/>
      <c r="H756" s="22"/>
    </row>
    <row r="757">
      <c r="A757" s="11"/>
      <c r="B757" s="11"/>
      <c r="C757" s="11"/>
      <c r="D757" s="24"/>
      <c r="E757" s="25"/>
      <c r="F757" s="25"/>
      <c r="G757" s="25"/>
      <c r="H757" s="25"/>
    </row>
    <row r="758">
      <c r="A758" s="6"/>
      <c r="B758" s="6"/>
      <c r="C758" s="6"/>
      <c r="D758" s="21"/>
      <c r="E758" s="22"/>
      <c r="F758" s="22"/>
      <c r="G758" s="22"/>
      <c r="H758" s="22"/>
    </row>
    <row r="759">
      <c r="A759" s="11"/>
      <c r="B759" s="11"/>
      <c r="C759" s="11"/>
      <c r="D759" s="24"/>
      <c r="E759" s="25"/>
      <c r="F759" s="25"/>
      <c r="G759" s="25"/>
      <c r="H759" s="25"/>
    </row>
    <row r="760">
      <c r="A760" s="6"/>
      <c r="B760" s="6"/>
      <c r="C760" s="6"/>
      <c r="D760" s="21"/>
      <c r="E760" s="22"/>
      <c r="F760" s="22"/>
      <c r="G760" s="22"/>
      <c r="H760" s="22"/>
    </row>
    <row r="761">
      <c r="A761" s="11"/>
      <c r="B761" s="11"/>
      <c r="C761" s="11"/>
      <c r="D761" s="24"/>
      <c r="E761" s="25"/>
      <c r="F761" s="25"/>
      <c r="G761" s="25"/>
      <c r="H761" s="25"/>
    </row>
    <row r="762">
      <c r="A762" s="6"/>
      <c r="B762" s="6"/>
      <c r="C762" s="6"/>
      <c r="D762" s="21"/>
      <c r="E762" s="22"/>
      <c r="F762" s="22"/>
      <c r="G762" s="22"/>
      <c r="H762" s="22"/>
    </row>
    <row r="763">
      <c r="A763" s="11"/>
      <c r="B763" s="11"/>
      <c r="C763" s="11"/>
      <c r="D763" s="24"/>
      <c r="E763" s="25"/>
      <c r="F763" s="25"/>
      <c r="G763" s="25"/>
      <c r="H763" s="25"/>
    </row>
    <row r="764">
      <c r="A764" s="6"/>
      <c r="B764" s="6"/>
      <c r="C764" s="6"/>
      <c r="D764" s="21"/>
      <c r="E764" s="22"/>
      <c r="F764" s="22"/>
      <c r="G764" s="22"/>
      <c r="H764" s="22"/>
    </row>
    <row r="765">
      <c r="A765" s="11"/>
      <c r="B765" s="11"/>
      <c r="C765" s="11"/>
      <c r="D765" s="24"/>
      <c r="E765" s="25"/>
      <c r="F765" s="25"/>
      <c r="G765" s="25"/>
      <c r="H765" s="25"/>
    </row>
    <row r="766">
      <c r="A766" s="6"/>
      <c r="B766" s="6"/>
      <c r="C766" s="6"/>
      <c r="D766" s="21"/>
      <c r="E766" s="22"/>
      <c r="F766" s="22"/>
      <c r="G766" s="22"/>
      <c r="H766" s="22"/>
    </row>
    <row r="767">
      <c r="A767" s="11"/>
      <c r="B767" s="11"/>
      <c r="C767" s="11"/>
      <c r="D767" s="24"/>
      <c r="E767" s="25"/>
      <c r="F767" s="25"/>
      <c r="G767" s="25"/>
      <c r="H767" s="25"/>
    </row>
    <row r="768">
      <c r="A768" s="6"/>
      <c r="B768" s="6"/>
      <c r="C768" s="6"/>
      <c r="D768" s="21"/>
      <c r="E768" s="22"/>
      <c r="F768" s="22"/>
      <c r="G768" s="22"/>
      <c r="H768" s="22"/>
    </row>
    <row r="769">
      <c r="A769" s="11"/>
      <c r="B769" s="11"/>
      <c r="C769" s="11"/>
      <c r="D769" s="24"/>
      <c r="E769" s="25"/>
      <c r="F769" s="25"/>
      <c r="G769" s="25"/>
      <c r="H769" s="25"/>
    </row>
    <row r="770">
      <c r="A770" s="6"/>
      <c r="B770" s="6"/>
      <c r="C770" s="6"/>
      <c r="D770" s="21"/>
      <c r="E770" s="22"/>
      <c r="F770" s="22"/>
      <c r="G770" s="22"/>
      <c r="H770" s="22"/>
    </row>
    <row r="771">
      <c r="A771" s="11"/>
      <c r="B771" s="11"/>
      <c r="C771" s="11"/>
      <c r="D771" s="24"/>
      <c r="E771" s="25"/>
      <c r="F771" s="25"/>
      <c r="G771" s="25"/>
      <c r="H771" s="25"/>
    </row>
    <row r="772">
      <c r="A772" s="6"/>
      <c r="B772" s="6"/>
      <c r="C772" s="6"/>
      <c r="D772" s="21"/>
      <c r="E772" s="22"/>
      <c r="F772" s="22"/>
      <c r="G772" s="22"/>
      <c r="H772" s="22"/>
    </row>
    <row r="773">
      <c r="A773" s="11"/>
      <c r="B773" s="11"/>
      <c r="C773" s="11"/>
      <c r="D773" s="24"/>
      <c r="E773" s="25"/>
      <c r="F773" s="25"/>
      <c r="G773" s="25"/>
      <c r="H773" s="25"/>
    </row>
    <row r="774">
      <c r="A774" s="6"/>
      <c r="B774" s="6"/>
      <c r="C774" s="6"/>
      <c r="D774" s="21"/>
      <c r="E774" s="22"/>
      <c r="F774" s="22"/>
      <c r="G774" s="22"/>
      <c r="H774" s="22"/>
    </row>
    <row r="775">
      <c r="A775" s="11"/>
      <c r="B775" s="11"/>
      <c r="C775" s="11"/>
      <c r="D775" s="24"/>
      <c r="E775" s="25"/>
      <c r="F775" s="25"/>
      <c r="G775" s="25"/>
      <c r="H775" s="25"/>
    </row>
    <row r="776">
      <c r="A776" s="6"/>
      <c r="B776" s="6"/>
      <c r="C776" s="6"/>
      <c r="D776" s="21"/>
      <c r="E776" s="22"/>
      <c r="F776" s="22"/>
      <c r="G776" s="22"/>
      <c r="H776" s="22"/>
    </row>
    <row r="777">
      <c r="A777" s="11"/>
      <c r="B777" s="11"/>
      <c r="C777" s="11"/>
      <c r="D777" s="24"/>
      <c r="E777" s="25"/>
      <c r="F777" s="25"/>
      <c r="G777" s="25"/>
      <c r="H777" s="25"/>
    </row>
    <row r="778">
      <c r="A778" s="6"/>
      <c r="B778" s="6"/>
      <c r="C778" s="6"/>
      <c r="D778" s="21"/>
      <c r="E778" s="22"/>
      <c r="F778" s="22"/>
      <c r="G778" s="22"/>
      <c r="H778" s="22"/>
    </row>
    <row r="779">
      <c r="A779" s="11"/>
      <c r="B779" s="11"/>
      <c r="C779" s="11"/>
      <c r="D779" s="24"/>
      <c r="E779" s="25"/>
      <c r="F779" s="25"/>
      <c r="G779" s="25"/>
      <c r="H779" s="25"/>
    </row>
    <row r="780">
      <c r="A780" s="6"/>
      <c r="B780" s="6"/>
      <c r="C780" s="6"/>
      <c r="D780" s="21"/>
      <c r="E780" s="22"/>
      <c r="F780" s="22"/>
      <c r="G780" s="22"/>
      <c r="H780" s="22"/>
    </row>
    <row r="781">
      <c r="A781" s="11"/>
      <c r="B781" s="11"/>
      <c r="C781" s="11"/>
      <c r="D781" s="24"/>
      <c r="E781" s="25"/>
      <c r="F781" s="25"/>
      <c r="G781" s="25"/>
      <c r="H781" s="25"/>
    </row>
    <row r="782">
      <c r="A782" s="6"/>
      <c r="B782" s="6"/>
      <c r="C782" s="6"/>
      <c r="D782" s="21"/>
      <c r="E782" s="22"/>
      <c r="F782" s="22"/>
      <c r="G782" s="22"/>
      <c r="H782" s="22"/>
    </row>
    <row r="783">
      <c r="A783" s="11"/>
      <c r="B783" s="11"/>
      <c r="C783" s="11"/>
      <c r="D783" s="24"/>
      <c r="E783" s="25"/>
      <c r="F783" s="25"/>
      <c r="G783" s="25"/>
      <c r="H783" s="25"/>
    </row>
    <row r="784">
      <c r="A784" s="6"/>
      <c r="B784" s="6"/>
      <c r="C784" s="6"/>
      <c r="D784" s="21"/>
      <c r="E784" s="22"/>
      <c r="F784" s="22"/>
      <c r="G784" s="22"/>
      <c r="H784" s="22"/>
    </row>
    <row r="785">
      <c r="A785" s="11"/>
      <c r="B785" s="11"/>
      <c r="C785" s="11"/>
      <c r="D785" s="24"/>
      <c r="E785" s="25"/>
      <c r="F785" s="25"/>
      <c r="G785" s="25"/>
      <c r="H785" s="25"/>
    </row>
    <row r="786">
      <c r="A786" s="6"/>
      <c r="B786" s="6"/>
      <c r="C786" s="6"/>
      <c r="D786" s="21"/>
      <c r="E786" s="22"/>
      <c r="F786" s="22"/>
      <c r="G786" s="22"/>
      <c r="H786" s="22"/>
    </row>
    <row r="787">
      <c r="A787" s="11"/>
      <c r="B787" s="11"/>
      <c r="C787" s="11"/>
      <c r="D787" s="24"/>
      <c r="E787" s="25"/>
      <c r="F787" s="25"/>
      <c r="G787" s="25"/>
      <c r="H787" s="25"/>
    </row>
    <row r="788">
      <c r="A788" s="6"/>
      <c r="B788" s="6"/>
      <c r="C788" s="6"/>
      <c r="D788" s="21"/>
      <c r="E788" s="22"/>
      <c r="F788" s="22"/>
      <c r="G788" s="22"/>
      <c r="H788" s="22"/>
    </row>
    <row r="789">
      <c r="A789" s="11"/>
      <c r="B789" s="11"/>
      <c r="C789" s="11"/>
      <c r="D789" s="24"/>
      <c r="E789" s="25"/>
      <c r="F789" s="25"/>
      <c r="G789" s="25"/>
      <c r="H789" s="25"/>
    </row>
    <row r="790">
      <c r="A790" s="6"/>
      <c r="B790" s="6"/>
      <c r="C790" s="6"/>
      <c r="D790" s="21"/>
      <c r="E790" s="22"/>
      <c r="F790" s="22"/>
      <c r="G790" s="22"/>
      <c r="H790" s="22"/>
    </row>
    <row r="791">
      <c r="A791" s="11"/>
      <c r="B791" s="11"/>
      <c r="C791" s="11"/>
      <c r="D791" s="24"/>
      <c r="E791" s="25"/>
      <c r="F791" s="25"/>
      <c r="G791" s="25"/>
      <c r="H791" s="25"/>
    </row>
    <row r="792">
      <c r="A792" s="6"/>
      <c r="B792" s="6"/>
      <c r="C792" s="6"/>
      <c r="D792" s="21"/>
      <c r="E792" s="22"/>
      <c r="F792" s="22"/>
      <c r="G792" s="22"/>
      <c r="H792" s="22"/>
    </row>
    <row r="793">
      <c r="A793" s="11"/>
      <c r="B793" s="11"/>
      <c r="C793" s="11"/>
      <c r="D793" s="24"/>
      <c r="E793" s="25"/>
      <c r="F793" s="25"/>
      <c r="G793" s="25"/>
      <c r="H793" s="25"/>
    </row>
    <row r="794">
      <c r="A794" s="6"/>
      <c r="B794" s="6"/>
      <c r="C794" s="6"/>
      <c r="D794" s="21"/>
      <c r="E794" s="22"/>
      <c r="F794" s="22"/>
      <c r="G794" s="22"/>
      <c r="H794" s="22"/>
    </row>
    <row r="795">
      <c r="A795" s="11"/>
      <c r="B795" s="11"/>
      <c r="C795" s="11"/>
      <c r="D795" s="24"/>
      <c r="E795" s="25"/>
      <c r="F795" s="25"/>
      <c r="G795" s="25"/>
      <c r="H795" s="25"/>
    </row>
    <row r="796">
      <c r="A796" s="6"/>
      <c r="B796" s="6"/>
      <c r="C796" s="6"/>
      <c r="D796" s="21"/>
      <c r="E796" s="22"/>
      <c r="F796" s="22"/>
      <c r="G796" s="22"/>
      <c r="H796" s="22"/>
    </row>
    <row r="797">
      <c r="A797" s="11"/>
      <c r="B797" s="11"/>
      <c r="C797" s="11"/>
      <c r="D797" s="24"/>
      <c r="E797" s="25"/>
      <c r="F797" s="25"/>
      <c r="G797" s="25"/>
      <c r="H797" s="25"/>
    </row>
    <row r="798">
      <c r="A798" s="6"/>
      <c r="B798" s="6"/>
      <c r="C798" s="6"/>
      <c r="D798" s="21"/>
      <c r="E798" s="22"/>
      <c r="F798" s="22"/>
      <c r="G798" s="22"/>
      <c r="H798" s="22"/>
    </row>
    <row r="799">
      <c r="A799" s="11"/>
      <c r="B799" s="11"/>
      <c r="C799" s="11"/>
      <c r="D799" s="24"/>
      <c r="E799" s="25"/>
      <c r="F799" s="25"/>
      <c r="G799" s="25"/>
      <c r="H799" s="25"/>
    </row>
    <row r="800">
      <c r="A800" s="6"/>
      <c r="B800" s="6"/>
      <c r="C800" s="6"/>
      <c r="D800" s="21"/>
      <c r="E800" s="22"/>
      <c r="F800" s="22"/>
      <c r="G800" s="22"/>
      <c r="H800" s="22"/>
    </row>
    <row r="801">
      <c r="A801" s="11"/>
      <c r="B801" s="11"/>
      <c r="C801" s="11"/>
      <c r="D801" s="24"/>
      <c r="E801" s="25"/>
      <c r="F801" s="25"/>
      <c r="G801" s="25"/>
      <c r="H801" s="25"/>
    </row>
    <row r="802">
      <c r="A802" s="6"/>
      <c r="B802" s="6"/>
      <c r="C802" s="6"/>
      <c r="D802" s="21"/>
      <c r="E802" s="22"/>
      <c r="F802" s="22"/>
      <c r="G802" s="22"/>
      <c r="H802" s="22"/>
    </row>
    <row r="803">
      <c r="A803" s="11"/>
      <c r="B803" s="11"/>
      <c r="C803" s="11"/>
      <c r="D803" s="24"/>
      <c r="E803" s="25"/>
      <c r="F803" s="25"/>
      <c r="G803" s="25"/>
      <c r="H803" s="25"/>
    </row>
    <row r="804">
      <c r="A804" s="6"/>
      <c r="B804" s="6"/>
      <c r="C804" s="6"/>
      <c r="D804" s="21"/>
      <c r="E804" s="22"/>
      <c r="F804" s="22"/>
      <c r="G804" s="22"/>
      <c r="H804" s="22"/>
    </row>
    <row r="805">
      <c r="A805" s="11"/>
      <c r="B805" s="11"/>
      <c r="C805" s="11"/>
      <c r="D805" s="24"/>
      <c r="E805" s="25"/>
      <c r="F805" s="25"/>
      <c r="G805" s="25"/>
      <c r="H805" s="25"/>
    </row>
    <row r="806">
      <c r="A806" s="6"/>
      <c r="B806" s="6"/>
      <c r="C806" s="6"/>
      <c r="D806" s="21"/>
      <c r="E806" s="22"/>
      <c r="F806" s="22"/>
      <c r="G806" s="22"/>
      <c r="H806" s="22"/>
    </row>
    <row r="807">
      <c r="A807" s="11"/>
      <c r="B807" s="11"/>
      <c r="C807" s="11"/>
      <c r="D807" s="24"/>
      <c r="E807" s="25"/>
      <c r="F807" s="25"/>
      <c r="G807" s="25"/>
      <c r="H807" s="25"/>
    </row>
    <row r="808">
      <c r="A808" s="6"/>
      <c r="B808" s="6"/>
      <c r="C808" s="6"/>
      <c r="D808" s="21"/>
      <c r="E808" s="22"/>
      <c r="F808" s="22"/>
      <c r="G808" s="22"/>
      <c r="H808" s="22"/>
    </row>
    <row r="809">
      <c r="A809" s="11"/>
      <c r="B809" s="11"/>
      <c r="C809" s="11"/>
      <c r="D809" s="24"/>
      <c r="E809" s="25"/>
      <c r="F809" s="25"/>
      <c r="G809" s="25"/>
      <c r="H809" s="25"/>
    </row>
    <row r="810">
      <c r="A810" s="6"/>
      <c r="B810" s="6"/>
      <c r="C810" s="6"/>
      <c r="D810" s="21"/>
      <c r="E810" s="22"/>
      <c r="F810" s="22"/>
      <c r="G810" s="22"/>
      <c r="H810" s="22"/>
    </row>
    <row r="811">
      <c r="A811" s="11"/>
      <c r="B811" s="11"/>
      <c r="C811" s="11"/>
      <c r="D811" s="24"/>
      <c r="E811" s="25"/>
      <c r="F811" s="25"/>
      <c r="G811" s="25"/>
      <c r="H811" s="25"/>
    </row>
    <row r="812">
      <c r="A812" s="6"/>
      <c r="B812" s="6"/>
      <c r="C812" s="6"/>
      <c r="D812" s="21"/>
      <c r="E812" s="22"/>
      <c r="F812" s="22"/>
      <c r="G812" s="22"/>
      <c r="H812" s="22"/>
    </row>
    <row r="813">
      <c r="A813" s="11"/>
      <c r="B813" s="11"/>
      <c r="C813" s="11"/>
      <c r="D813" s="24"/>
      <c r="E813" s="25"/>
      <c r="F813" s="25"/>
      <c r="G813" s="25"/>
      <c r="H813" s="25"/>
    </row>
    <row r="814">
      <c r="A814" s="6"/>
      <c r="B814" s="6"/>
      <c r="C814" s="6"/>
      <c r="D814" s="21"/>
      <c r="E814" s="22"/>
      <c r="F814" s="22"/>
      <c r="G814" s="22"/>
      <c r="H814" s="22"/>
    </row>
    <row r="815">
      <c r="A815" s="11"/>
      <c r="B815" s="11"/>
      <c r="C815" s="11"/>
      <c r="D815" s="24"/>
      <c r="E815" s="25"/>
      <c r="F815" s="25"/>
      <c r="G815" s="25"/>
      <c r="H815" s="25"/>
    </row>
    <row r="816">
      <c r="A816" s="6"/>
      <c r="B816" s="6"/>
      <c r="C816" s="6"/>
      <c r="D816" s="21"/>
      <c r="E816" s="22"/>
      <c r="F816" s="22"/>
      <c r="G816" s="22"/>
      <c r="H816" s="22"/>
    </row>
    <row r="817">
      <c r="A817" s="11"/>
      <c r="B817" s="11"/>
      <c r="C817" s="11"/>
      <c r="D817" s="24"/>
      <c r="E817" s="25"/>
      <c r="F817" s="25"/>
      <c r="G817" s="25"/>
      <c r="H817" s="25"/>
    </row>
    <row r="818">
      <c r="A818" s="6"/>
      <c r="B818" s="6"/>
      <c r="C818" s="6"/>
      <c r="D818" s="21"/>
      <c r="E818" s="22"/>
      <c r="F818" s="22"/>
      <c r="G818" s="22"/>
      <c r="H818" s="22"/>
    </row>
    <row r="819">
      <c r="A819" s="11"/>
      <c r="B819" s="11"/>
      <c r="C819" s="11"/>
      <c r="D819" s="24"/>
      <c r="E819" s="25"/>
      <c r="F819" s="25"/>
      <c r="G819" s="25"/>
      <c r="H819" s="25"/>
    </row>
    <row r="820">
      <c r="A820" s="6"/>
      <c r="B820" s="6"/>
      <c r="C820" s="6"/>
      <c r="D820" s="21"/>
      <c r="E820" s="22"/>
      <c r="F820" s="22"/>
      <c r="G820" s="22"/>
      <c r="H820" s="22"/>
    </row>
    <row r="821">
      <c r="A821" s="11"/>
      <c r="B821" s="11"/>
      <c r="C821" s="11"/>
      <c r="D821" s="24"/>
      <c r="E821" s="25"/>
      <c r="F821" s="25"/>
      <c r="G821" s="25"/>
      <c r="H821" s="25"/>
    </row>
    <row r="822">
      <c r="A822" s="6"/>
      <c r="B822" s="6"/>
      <c r="C822" s="6"/>
      <c r="D822" s="21"/>
      <c r="E822" s="22"/>
      <c r="F822" s="22"/>
      <c r="G822" s="22"/>
      <c r="H822" s="22"/>
    </row>
    <row r="823">
      <c r="A823" s="11"/>
      <c r="B823" s="11"/>
      <c r="C823" s="11"/>
      <c r="D823" s="24"/>
      <c r="E823" s="25"/>
      <c r="F823" s="25"/>
      <c r="G823" s="25"/>
      <c r="H823" s="25"/>
    </row>
    <row r="824">
      <c r="A824" s="6"/>
      <c r="B824" s="6"/>
      <c r="C824" s="6"/>
      <c r="D824" s="21"/>
      <c r="E824" s="22"/>
      <c r="F824" s="22"/>
      <c r="G824" s="22"/>
      <c r="H824" s="22"/>
    </row>
    <row r="825">
      <c r="A825" s="11"/>
      <c r="B825" s="11"/>
      <c r="C825" s="11"/>
      <c r="D825" s="24"/>
      <c r="E825" s="25"/>
      <c r="F825" s="25"/>
      <c r="G825" s="25"/>
      <c r="H825" s="25"/>
    </row>
    <row r="826">
      <c r="A826" s="6"/>
      <c r="B826" s="6"/>
      <c r="C826" s="6"/>
      <c r="D826" s="21"/>
      <c r="E826" s="22"/>
      <c r="F826" s="22"/>
      <c r="G826" s="22"/>
      <c r="H826" s="22"/>
    </row>
    <row r="827">
      <c r="A827" s="11"/>
      <c r="B827" s="11"/>
      <c r="C827" s="11"/>
      <c r="D827" s="24"/>
      <c r="E827" s="25"/>
      <c r="F827" s="25"/>
      <c r="G827" s="25"/>
      <c r="H827" s="25"/>
    </row>
    <row r="828">
      <c r="A828" s="6"/>
      <c r="B828" s="6"/>
      <c r="C828" s="6"/>
      <c r="D828" s="21"/>
      <c r="E828" s="22"/>
      <c r="F828" s="22"/>
      <c r="G828" s="22"/>
      <c r="H828" s="22"/>
    </row>
    <row r="829">
      <c r="A829" s="11"/>
      <c r="B829" s="11"/>
      <c r="C829" s="11"/>
      <c r="D829" s="24"/>
      <c r="E829" s="25"/>
      <c r="F829" s="25"/>
      <c r="G829" s="25"/>
      <c r="H829" s="25"/>
    </row>
    <row r="830">
      <c r="A830" s="6"/>
      <c r="B830" s="6"/>
      <c r="C830" s="6"/>
      <c r="D830" s="21"/>
      <c r="E830" s="22"/>
      <c r="F830" s="22"/>
      <c r="G830" s="22"/>
      <c r="H830" s="22"/>
    </row>
    <row r="831">
      <c r="A831" s="11"/>
      <c r="B831" s="11"/>
      <c r="C831" s="11"/>
      <c r="D831" s="24"/>
      <c r="E831" s="25"/>
      <c r="F831" s="25"/>
      <c r="G831" s="25"/>
      <c r="H831" s="25"/>
    </row>
    <row r="832">
      <c r="A832" s="6"/>
      <c r="B832" s="6"/>
      <c r="C832" s="6"/>
      <c r="D832" s="21"/>
      <c r="E832" s="22"/>
      <c r="F832" s="22"/>
      <c r="G832" s="22"/>
      <c r="H832" s="22"/>
    </row>
    <row r="833">
      <c r="A833" s="11"/>
      <c r="B833" s="11"/>
      <c r="C833" s="11"/>
      <c r="D833" s="24"/>
      <c r="E833" s="25"/>
      <c r="F833" s="25"/>
      <c r="G833" s="25"/>
      <c r="H833" s="25"/>
    </row>
    <row r="834">
      <c r="A834" s="6"/>
      <c r="B834" s="6"/>
      <c r="C834" s="6"/>
      <c r="D834" s="21"/>
      <c r="E834" s="22"/>
      <c r="F834" s="22"/>
      <c r="G834" s="22"/>
      <c r="H834" s="22"/>
    </row>
    <row r="835">
      <c r="A835" s="11"/>
      <c r="B835" s="11"/>
      <c r="C835" s="11"/>
      <c r="D835" s="24"/>
      <c r="E835" s="25"/>
      <c r="F835" s="25"/>
      <c r="G835" s="25"/>
      <c r="H835" s="25"/>
    </row>
    <row r="836">
      <c r="A836" s="6"/>
      <c r="B836" s="6"/>
      <c r="C836" s="6"/>
      <c r="D836" s="21"/>
      <c r="E836" s="22"/>
      <c r="F836" s="22"/>
      <c r="G836" s="22"/>
      <c r="H836" s="22"/>
    </row>
    <row r="837">
      <c r="A837" s="11"/>
      <c r="B837" s="11"/>
      <c r="C837" s="11"/>
      <c r="D837" s="24"/>
      <c r="E837" s="25"/>
      <c r="F837" s="25"/>
      <c r="G837" s="25"/>
      <c r="H837" s="25"/>
    </row>
    <row r="838">
      <c r="A838" s="6"/>
      <c r="B838" s="6"/>
      <c r="C838" s="6"/>
      <c r="D838" s="21"/>
      <c r="E838" s="22"/>
      <c r="F838" s="22"/>
      <c r="G838" s="22"/>
      <c r="H838" s="22"/>
    </row>
    <row r="839">
      <c r="A839" s="11"/>
      <c r="B839" s="11"/>
      <c r="C839" s="11"/>
      <c r="D839" s="24"/>
      <c r="E839" s="25"/>
      <c r="F839" s="25"/>
      <c r="G839" s="25"/>
      <c r="H839" s="25"/>
    </row>
    <row r="840">
      <c r="A840" s="6"/>
      <c r="B840" s="6"/>
      <c r="C840" s="6"/>
      <c r="D840" s="21"/>
      <c r="E840" s="22"/>
      <c r="F840" s="22"/>
      <c r="G840" s="22"/>
      <c r="H840" s="22"/>
    </row>
    <row r="841">
      <c r="A841" s="11"/>
      <c r="B841" s="11"/>
      <c r="C841" s="11"/>
      <c r="D841" s="24"/>
      <c r="E841" s="25"/>
      <c r="F841" s="25"/>
      <c r="G841" s="25"/>
      <c r="H841" s="25"/>
    </row>
    <row r="842">
      <c r="A842" s="6"/>
      <c r="B842" s="6"/>
      <c r="C842" s="6"/>
      <c r="D842" s="21"/>
      <c r="E842" s="22"/>
      <c r="F842" s="22"/>
      <c r="G842" s="22"/>
      <c r="H842" s="22"/>
    </row>
    <row r="843">
      <c r="A843" s="11"/>
      <c r="B843" s="11"/>
      <c r="C843" s="11"/>
      <c r="D843" s="24"/>
      <c r="E843" s="25"/>
      <c r="F843" s="25"/>
      <c r="G843" s="25"/>
      <c r="H843" s="25"/>
    </row>
    <row r="844">
      <c r="A844" s="6"/>
      <c r="B844" s="6"/>
      <c r="C844" s="6"/>
      <c r="D844" s="21"/>
      <c r="E844" s="22"/>
      <c r="F844" s="22"/>
      <c r="G844" s="22"/>
      <c r="H844" s="22"/>
    </row>
    <row r="845">
      <c r="A845" s="11"/>
      <c r="B845" s="11"/>
      <c r="C845" s="11"/>
      <c r="D845" s="24"/>
      <c r="E845" s="25"/>
      <c r="F845" s="25"/>
      <c r="G845" s="25"/>
      <c r="H845" s="25"/>
    </row>
    <row r="846">
      <c r="A846" s="6"/>
      <c r="B846" s="6"/>
      <c r="C846" s="6"/>
      <c r="D846" s="21"/>
      <c r="E846" s="22"/>
      <c r="F846" s="22"/>
      <c r="G846" s="22"/>
      <c r="H846" s="22"/>
    </row>
    <row r="847">
      <c r="A847" s="11"/>
      <c r="B847" s="11"/>
      <c r="C847" s="11"/>
      <c r="D847" s="24"/>
      <c r="E847" s="25"/>
      <c r="F847" s="25"/>
      <c r="G847" s="25"/>
      <c r="H847" s="25"/>
    </row>
    <row r="848">
      <c r="A848" s="6"/>
      <c r="B848" s="6"/>
      <c r="C848" s="6"/>
      <c r="D848" s="21"/>
      <c r="E848" s="22"/>
      <c r="F848" s="22"/>
      <c r="G848" s="22"/>
      <c r="H848" s="22"/>
    </row>
    <row r="849">
      <c r="A849" s="11"/>
      <c r="B849" s="11"/>
      <c r="C849" s="11"/>
      <c r="D849" s="24"/>
      <c r="E849" s="25"/>
      <c r="F849" s="25"/>
      <c r="G849" s="25"/>
      <c r="H849" s="25"/>
    </row>
    <row r="850">
      <c r="A850" s="6"/>
      <c r="B850" s="6"/>
      <c r="C850" s="6"/>
      <c r="D850" s="21"/>
      <c r="E850" s="22"/>
      <c r="F850" s="22"/>
      <c r="G850" s="22"/>
      <c r="H850" s="22"/>
    </row>
    <row r="851">
      <c r="A851" s="11"/>
      <c r="B851" s="11"/>
      <c r="C851" s="11"/>
      <c r="D851" s="24"/>
      <c r="E851" s="25"/>
      <c r="F851" s="25"/>
      <c r="G851" s="25"/>
      <c r="H851" s="25"/>
    </row>
    <row r="852">
      <c r="A852" s="6"/>
      <c r="B852" s="6"/>
      <c r="C852" s="6"/>
      <c r="D852" s="21"/>
      <c r="E852" s="22"/>
      <c r="F852" s="22"/>
      <c r="G852" s="22"/>
      <c r="H852" s="22"/>
    </row>
    <row r="853">
      <c r="A853" s="11"/>
      <c r="B853" s="11"/>
      <c r="C853" s="11"/>
      <c r="D853" s="24"/>
      <c r="E853" s="25"/>
      <c r="F853" s="25"/>
      <c r="G853" s="25"/>
      <c r="H853" s="25"/>
    </row>
    <row r="854">
      <c r="A854" s="6"/>
      <c r="B854" s="6"/>
      <c r="C854" s="6"/>
      <c r="D854" s="21"/>
      <c r="E854" s="22"/>
      <c r="F854" s="22"/>
      <c r="G854" s="22"/>
      <c r="H854" s="22"/>
    </row>
    <row r="855">
      <c r="A855" s="11"/>
      <c r="B855" s="11"/>
      <c r="C855" s="11"/>
      <c r="D855" s="24"/>
      <c r="E855" s="25"/>
      <c r="F855" s="25"/>
      <c r="G855" s="25"/>
      <c r="H855" s="25"/>
    </row>
    <row r="856">
      <c r="A856" s="6"/>
      <c r="B856" s="6"/>
      <c r="C856" s="6"/>
      <c r="D856" s="21"/>
      <c r="E856" s="22"/>
      <c r="F856" s="22"/>
      <c r="G856" s="22"/>
      <c r="H856" s="22"/>
    </row>
    <row r="857">
      <c r="A857" s="11"/>
      <c r="B857" s="11"/>
      <c r="C857" s="11"/>
      <c r="D857" s="24"/>
      <c r="E857" s="25"/>
      <c r="F857" s="25"/>
      <c r="G857" s="25"/>
      <c r="H857" s="25"/>
    </row>
    <row r="858">
      <c r="A858" s="6"/>
      <c r="B858" s="6"/>
      <c r="C858" s="6"/>
      <c r="D858" s="21"/>
      <c r="E858" s="22"/>
      <c r="F858" s="22"/>
      <c r="G858" s="22"/>
      <c r="H858" s="22"/>
    </row>
    <row r="859">
      <c r="A859" s="11"/>
      <c r="B859" s="11"/>
      <c r="C859" s="11"/>
      <c r="D859" s="24"/>
      <c r="E859" s="25"/>
      <c r="F859" s="25"/>
      <c r="G859" s="25"/>
      <c r="H859" s="25"/>
    </row>
    <row r="860">
      <c r="A860" s="6"/>
      <c r="B860" s="6"/>
      <c r="C860" s="6"/>
      <c r="D860" s="21"/>
      <c r="E860" s="22"/>
      <c r="F860" s="22"/>
      <c r="G860" s="22"/>
      <c r="H860" s="22"/>
    </row>
    <row r="861">
      <c r="A861" s="11"/>
      <c r="B861" s="11"/>
      <c r="C861" s="11"/>
      <c r="D861" s="24"/>
      <c r="E861" s="25"/>
      <c r="F861" s="25"/>
      <c r="G861" s="25"/>
      <c r="H861" s="25"/>
    </row>
    <row r="862">
      <c r="A862" s="6"/>
      <c r="B862" s="6"/>
      <c r="C862" s="6"/>
      <c r="D862" s="21"/>
      <c r="E862" s="22"/>
      <c r="F862" s="22"/>
      <c r="G862" s="22"/>
      <c r="H862" s="22"/>
    </row>
    <row r="863">
      <c r="A863" s="11"/>
      <c r="B863" s="11"/>
      <c r="C863" s="11"/>
      <c r="D863" s="24"/>
      <c r="E863" s="25"/>
      <c r="F863" s="25"/>
      <c r="G863" s="25"/>
      <c r="H863" s="25"/>
    </row>
    <row r="864">
      <c r="A864" s="6"/>
      <c r="B864" s="6"/>
      <c r="C864" s="6"/>
      <c r="D864" s="21"/>
      <c r="E864" s="22"/>
      <c r="F864" s="22"/>
      <c r="G864" s="22"/>
      <c r="H864" s="22"/>
    </row>
    <row r="865">
      <c r="A865" s="11"/>
      <c r="B865" s="11"/>
      <c r="C865" s="11"/>
      <c r="D865" s="24"/>
      <c r="E865" s="25"/>
      <c r="F865" s="25"/>
      <c r="G865" s="25"/>
      <c r="H865" s="25"/>
    </row>
    <row r="866">
      <c r="A866" s="6"/>
      <c r="B866" s="6"/>
      <c r="C866" s="6"/>
      <c r="D866" s="21"/>
      <c r="E866" s="22"/>
      <c r="F866" s="22"/>
      <c r="G866" s="22"/>
      <c r="H866" s="22"/>
    </row>
    <row r="867">
      <c r="A867" s="11"/>
      <c r="B867" s="11"/>
      <c r="C867" s="11"/>
      <c r="D867" s="24"/>
      <c r="E867" s="25"/>
      <c r="F867" s="25"/>
      <c r="G867" s="25"/>
      <c r="H867" s="25"/>
    </row>
    <row r="868">
      <c r="A868" s="6"/>
      <c r="B868" s="6"/>
      <c r="C868" s="6"/>
      <c r="D868" s="21"/>
      <c r="E868" s="22"/>
      <c r="F868" s="22"/>
      <c r="G868" s="22"/>
      <c r="H868" s="22"/>
    </row>
    <row r="869">
      <c r="A869" s="11"/>
      <c r="B869" s="11"/>
      <c r="C869" s="11"/>
      <c r="D869" s="24"/>
      <c r="E869" s="25"/>
      <c r="F869" s="25"/>
      <c r="G869" s="25"/>
      <c r="H869" s="25"/>
    </row>
    <row r="870">
      <c r="A870" s="6"/>
      <c r="B870" s="6"/>
      <c r="C870" s="6"/>
      <c r="D870" s="21"/>
      <c r="E870" s="22"/>
      <c r="F870" s="22"/>
      <c r="G870" s="22"/>
      <c r="H870" s="22"/>
    </row>
    <row r="871">
      <c r="A871" s="11"/>
      <c r="B871" s="11"/>
      <c r="C871" s="11"/>
      <c r="D871" s="24"/>
      <c r="E871" s="25"/>
      <c r="F871" s="25"/>
      <c r="G871" s="25"/>
      <c r="H871" s="25"/>
    </row>
    <row r="872">
      <c r="A872" s="6"/>
      <c r="B872" s="6"/>
      <c r="C872" s="6"/>
      <c r="D872" s="21"/>
      <c r="E872" s="22"/>
      <c r="F872" s="22"/>
      <c r="G872" s="22"/>
      <c r="H872" s="22"/>
    </row>
    <row r="873">
      <c r="A873" s="11"/>
      <c r="B873" s="11"/>
      <c r="C873" s="11"/>
      <c r="D873" s="24"/>
      <c r="E873" s="25"/>
      <c r="F873" s="25"/>
      <c r="G873" s="25"/>
      <c r="H873" s="25"/>
    </row>
    <row r="874">
      <c r="A874" s="6"/>
      <c r="B874" s="6"/>
      <c r="C874" s="6"/>
      <c r="D874" s="21"/>
      <c r="E874" s="22"/>
      <c r="F874" s="22"/>
      <c r="G874" s="22"/>
      <c r="H874" s="22"/>
    </row>
    <row r="875">
      <c r="A875" s="11"/>
      <c r="B875" s="11"/>
      <c r="C875" s="11"/>
      <c r="D875" s="24"/>
      <c r="E875" s="25"/>
      <c r="F875" s="25"/>
      <c r="G875" s="25"/>
      <c r="H875" s="25"/>
    </row>
    <row r="876">
      <c r="A876" s="6"/>
      <c r="B876" s="6"/>
      <c r="C876" s="6"/>
      <c r="D876" s="21"/>
      <c r="E876" s="22"/>
      <c r="F876" s="22"/>
      <c r="G876" s="22"/>
      <c r="H876" s="22"/>
    </row>
    <row r="877">
      <c r="A877" s="11"/>
      <c r="B877" s="11"/>
      <c r="C877" s="11"/>
      <c r="D877" s="24"/>
      <c r="E877" s="25"/>
      <c r="F877" s="25"/>
      <c r="G877" s="25"/>
      <c r="H877" s="25"/>
    </row>
    <row r="878">
      <c r="A878" s="6"/>
      <c r="B878" s="6"/>
      <c r="C878" s="6"/>
      <c r="D878" s="21"/>
      <c r="E878" s="22"/>
      <c r="F878" s="22"/>
      <c r="G878" s="22"/>
      <c r="H878" s="22"/>
    </row>
    <row r="879">
      <c r="A879" s="11"/>
      <c r="B879" s="11"/>
      <c r="C879" s="11"/>
      <c r="D879" s="24"/>
      <c r="E879" s="25"/>
      <c r="F879" s="25"/>
      <c r="G879" s="25"/>
      <c r="H879" s="25"/>
    </row>
    <row r="880">
      <c r="A880" s="6"/>
      <c r="B880" s="6"/>
      <c r="C880" s="6"/>
      <c r="D880" s="21"/>
      <c r="E880" s="22"/>
      <c r="F880" s="22"/>
      <c r="G880" s="22"/>
      <c r="H880" s="22"/>
    </row>
    <row r="881">
      <c r="A881" s="11"/>
      <c r="B881" s="11"/>
      <c r="C881" s="11"/>
      <c r="D881" s="24"/>
      <c r="E881" s="25"/>
      <c r="F881" s="25"/>
      <c r="G881" s="25"/>
      <c r="H881" s="25"/>
    </row>
    <row r="882">
      <c r="A882" s="6"/>
      <c r="B882" s="6"/>
      <c r="C882" s="6"/>
      <c r="D882" s="21"/>
      <c r="E882" s="22"/>
      <c r="F882" s="22"/>
      <c r="G882" s="22"/>
      <c r="H882" s="22"/>
    </row>
    <row r="883">
      <c r="A883" s="11"/>
      <c r="B883" s="11"/>
      <c r="C883" s="11"/>
      <c r="D883" s="24"/>
      <c r="E883" s="25"/>
      <c r="F883" s="25"/>
      <c r="G883" s="25"/>
      <c r="H883" s="25"/>
    </row>
    <row r="884">
      <c r="A884" s="6"/>
      <c r="B884" s="6"/>
      <c r="C884" s="6"/>
      <c r="D884" s="21"/>
      <c r="E884" s="22"/>
      <c r="F884" s="22"/>
      <c r="G884" s="22"/>
      <c r="H884" s="22"/>
    </row>
    <row r="885">
      <c r="A885" s="11"/>
      <c r="B885" s="11"/>
      <c r="C885" s="11"/>
      <c r="D885" s="24"/>
      <c r="E885" s="25"/>
      <c r="F885" s="25"/>
      <c r="G885" s="25"/>
      <c r="H885" s="25"/>
    </row>
    <row r="886">
      <c r="A886" s="6"/>
      <c r="B886" s="6"/>
      <c r="C886" s="6"/>
      <c r="D886" s="21"/>
      <c r="E886" s="22"/>
      <c r="F886" s="22"/>
      <c r="G886" s="22"/>
      <c r="H886" s="22"/>
    </row>
    <row r="887">
      <c r="A887" s="11"/>
      <c r="B887" s="11"/>
      <c r="C887" s="11"/>
      <c r="D887" s="24"/>
      <c r="E887" s="25"/>
      <c r="F887" s="25"/>
      <c r="G887" s="25"/>
      <c r="H887" s="25"/>
    </row>
    <row r="888">
      <c r="A888" s="6"/>
      <c r="B888" s="6"/>
      <c r="C888" s="6"/>
      <c r="D888" s="21"/>
      <c r="E888" s="22"/>
      <c r="F888" s="22"/>
      <c r="G888" s="22"/>
      <c r="H888" s="22"/>
    </row>
    <row r="889">
      <c r="A889" s="11"/>
      <c r="B889" s="11"/>
      <c r="C889" s="11"/>
      <c r="D889" s="24"/>
      <c r="E889" s="25"/>
      <c r="F889" s="25"/>
      <c r="G889" s="25"/>
      <c r="H889" s="25"/>
    </row>
    <row r="890">
      <c r="A890" s="6"/>
      <c r="B890" s="6"/>
      <c r="C890" s="6"/>
      <c r="D890" s="21"/>
      <c r="E890" s="22"/>
      <c r="F890" s="22"/>
      <c r="G890" s="22"/>
      <c r="H890" s="22"/>
    </row>
    <row r="891">
      <c r="A891" s="11"/>
      <c r="B891" s="11"/>
      <c r="C891" s="11"/>
      <c r="D891" s="24"/>
      <c r="E891" s="25"/>
      <c r="F891" s="25"/>
      <c r="G891" s="25"/>
      <c r="H891" s="25"/>
    </row>
    <row r="892">
      <c r="A892" s="6"/>
      <c r="B892" s="6"/>
      <c r="C892" s="6"/>
      <c r="D892" s="21"/>
      <c r="E892" s="22"/>
      <c r="F892" s="22"/>
      <c r="G892" s="22"/>
      <c r="H892" s="22"/>
    </row>
    <row r="893">
      <c r="A893" s="11"/>
      <c r="B893" s="11"/>
      <c r="C893" s="11"/>
      <c r="D893" s="24"/>
      <c r="E893" s="25"/>
      <c r="F893" s="25"/>
      <c r="G893" s="25"/>
      <c r="H893" s="25"/>
    </row>
    <row r="894">
      <c r="A894" s="6"/>
      <c r="B894" s="6"/>
      <c r="C894" s="6"/>
      <c r="D894" s="21"/>
      <c r="E894" s="22"/>
      <c r="F894" s="22"/>
      <c r="G894" s="22"/>
      <c r="H894" s="22"/>
    </row>
    <row r="895">
      <c r="A895" s="11"/>
      <c r="B895" s="11"/>
      <c r="C895" s="11"/>
      <c r="D895" s="24"/>
      <c r="E895" s="25"/>
      <c r="F895" s="25"/>
      <c r="G895" s="25"/>
      <c r="H895" s="25"/>
    </row>
    <row r="896">
      <c r="A896" s="6"/>
      <c r="B896" s="6"/>
      <c r="C896" s="6"/>
      <c r="D896" s="21"/>
      <c r="E896" s="22"/>
      <c r="F896" s="22"/>
      <c r="G896" s="22"/>
      <c r="H896" s="22"/>
    </row>
    <row r="897">
      <c r="A897" s="11"/>
      <c r="B897" s="11"/>
      <c r="C897" s="11"/>
      <c r="D897" s="24"/>
      <c r="E897" s="25"/>
      <c r="F897" s="25"/>
      <c r="G897" s="25"/>
      <c r="H897" s="25"/>
    </row>
    <row r="898">
      <c r="A898" s="6"/>
      <c r="B898" s="6"/>
      <c r="C898" s="6"/>
      <c r="D898" s="21"/>
      <c r="E898" s="22"/>
      <c r="F898" s="22"/>
      <c r="G898" s="22"/>
      <c r="H898" s="22"/>
    </row>
    <row r="899">
      <c r="A899" s="11"/>
      <c r="B899" s="11"/>
      <c r="C899" s="11"/>
      <c r="D899" s="24"/>
      <c r="E899" s="25"/>
      <c r="F899" s="25"/>
      <c r="G899" s="25"/>
      <c r="H899" s="25"/>
    </row>
    <row r="900">
      <c r="A900" s="6"/>
      <c r="B900" s="6"/>
      <c r="C900" s="6"/>
      <c r="D900" s="21"/>
      <c r="E900" s="22"/>
      <c r="F900" s="22"/>
      <c r="G900" s="22"/>
      <c r="H900" s="22"/>
    </row>
    <row r="901">
      <c r="A901" s="11"/>
      <c r="B901" s="11"/>
      <c r="C901" s="11"/>
      <c r="D901" s="24"/>
      <c r="E901" s="25"/>
      <c r="F901" s="25"/>
      <c r="G901" s="25"/>
      <c r="H901" s="25"/>
    </row>
    <row r="902">
      <c r="A902" s="6"/>
      <c r="B902" s="6"/>
      <c r="C902" s="6"/>
      <c r="D902" s="21"/>
      <c r="E902" s="22"/>
      <c r="F902" s="22"/>
      <c r="G902" s="22"/>
      <c r="H902" s="22"/>
    </row>
    <row r="903">
      <c r="A903" s="11"/>
      <c r="B903" s="11"/>
      <c r="C903" s="11"/>
      <c r="D903" s="24"/>
      <c r="E903" s="25"/>
      <c r="F903" s="25"/>
      <c r="G903" s="25"/>
      <c r="H903" s="25"/>
    </row>
    <row r="904">
      <c r="A904" s="6"/>
      <c r="B904" s="6"/>
      <c r="C904" s="6"/>
      <c r="D904" s="21"/>
      <c r="E904" s="22"/>
      <c r="F904" s="22"/>
      <c r="G904" s="22"/>
      <c r="H904" s="22"/>
    </row>
    <row r="905">
      <c r="A905" s="11"/>
      <c r="B905" s="11"/>
      <c r="C905" s="11"/>
      <c r="D905" s="24"/>
      <c r="E905" s="25"/>
      <c r="F905" s="25"/>
      <c r="G905" s="25"/>
      <c r="H905" s="25"/>
    </row>
    <row r="906">
      <c r="A906" s="6"/>
      <c r="B906" s="6"/>
      <c r="C906" s="6"/>
      <c r="D906" s="21"/>
      <c r="E906" s="22"/>
      <c r="F906" s="22"/>
      <c r="G906" s="22"/>
      <c r="H906" s="22"/>
    </row>
    <row r="907">
      <c r="A907" s="11"/>
      <c r="B907" s="11"/>
      <c r="C907" s="11"/>
      <c r="D907" s="24"/>
      <c r="E907" s="25"/>
      <c r="F907" s="25"/>
      <c r="G907" s="25"/>
      <c r="H907" s="25"/>
    </row>
    <row r="908">
      <c r="A908" s="6"/>
      <c r="B908" s="6"/>
      <c r="C908" s="6"/>
      <c r="D908" s="21"/>
      <c r="E908" s="22"/>
      <c r="F908" s="22"/>
      <c r="G908" s="22"/>
      <c r="H908" s="22"/>
    </row>
    <row r="909">
      <c r="A909" s="11"/>
      <c r="B909" s="11"/>
      <c r="C909" s="11"/>
      <c r="D909" s="24"/>
      <c r="E909" s="25"/>
      <c r="F909" s="25"/>
      <c r="G909" s="25"/>
      <c r="H909" s="25"/>
    </row>
    <row r="910">
      <c r="A910" s="6"/>
      <c r="B910" s="6"/>
      <c r="C910" s="6"/>
      <c r="D910" s="21"/>
      <c r="E910" s="22"/>
      <c r="F910" s="22"/>
      <c r="G910" s="22"/>
      <c r="H910" s="22"/>
    </row>
    <row r="911">
      <c r="A911" s="11"/>
      <c r="B911" s="11"/>
      <c r="C911" s="11"/>
      <c r="D911" s="24"/>
      <c r="E911" s="25"/>
      <c r="F911" s="25"/>
      <c r="G911" s="25"/>
      <c r="H911" s="25"/>
    </row>
    <row r="912">
      <c r="A912" s="6"/>
      <c r="B912" s="6"/>
      <c r="C912" s="6"/>
      <c r="D912" s="21"/>
      <c r="E912" s="22"/>
      <c r="F912" s="22"/>
      <c r="G912" s="22"/>
      <c r="H912" s="22"/>
    </row>
    <row r="913">
      <c r="A913" s="11"/>
      <c r="B913" s="11"/>
      <c r="C913" s="11"/>
      <c r="D913" s="24"/>
      <c r="E913" s="25"/>
      <c r="F913" s="25"/>
      <c r="G913" s="25"/>
      <c r="H913" s="25"/>
    </row>
    <row r="914">
      <c r="A914" s="6"/>
      <c r="B914" s="6"/>
      <c r="C914" s="6"/>
      <c r="D914" s="21"/>
      <c r="E914" s="22"/>
      <c r="F914" s="22"/>
      <c r="G914" s="22"/>
      <c r="H914" s="22"/>
    </row>
    <row r="915">
      <c r="A915" s="11"/>
      <c r="B915" s="11"/>
      <c r="C915" s="11"/>
      <c r="D915" s="24"/>
      <c r="E915" s="25"/>
      <c r="F915" s="25"/>
      <c r="G915" s="25"/>
      <c r="H915" s="25"/>
    </row>
    <row r="916">
      <c r="A916" s="6"/>
      <c r="B916" s="6"/>
      <c r="C916" s="6"/>
      <c r="D916" s="21"/>
      <c r="E916" s="22"/>
      <c r="F916" s="22"/>
      <c r="G916" s="22"/>
      <c r="H916" s="22"/>
    </row>
    <row r="917">
      <c r="A917" s="11"/>
      <c r="B917" s="11"/>
      <c r="C917" s="11"/>
      <c r="D917" s="24"/>
      <c r="E917" s="25"/>
      <c r="F917" s="25"/>
      <c r="G917" s="25"/>
      <c r="H917" s="25"/>
    </row>
    <row r="918">
      <c r="A918" s="6"/>
      <c r="B918" s="6"/>
      <c r="C918" s="6"/>
      <c r="D918" s="21"/>
      <c r="E918" s="22"/>
      <c r="F918" s="22"/>
      <c r="G918" s="22"/>
      <c r="H918" s="22"/>
    </row>
    <row r="919">
      <c r="A919" s="11"/>
      <c r="B919" s="11"/>
      <c r="C919" s="11"/>
      <c r="D919" s="24"/>
      <c r="E919" s="25"/>
      <c r="F919" s="25"/>
      <c r="G919" s="25"/>
      <c r="H919" s="25"/>
    </row>
    <row r="920">
      <c r="A920" s="6"/>
      <c r="B920" s="6"/>
      <c r="C920" s="6"/>
      <c r="D920" s="21"/>
      <c r="E920" s="22"/>
      <c r="F920" s="22"/>
      <c r="G920" s="22"/>
      <c r="H920" s="22"/>
    </row>
    <row r="921">
      <c r="A921" s="11"/>
      <c r="B921" s="11"/>
      <c r="C921" s="11"/>
      <c r="D921" s="24"/>
      <c r="E921" s="25"/>
      <c r="F921" s="25"/>
      <c r="G921" s="25"/>
      <c r="H921" s="25"/>
    </row>
    <row r="922">
      <c r="A922" s="6"/>
      <c r="B922" s="6"/>
      <c r="C922" s="6"/>
      <c r="D922" s="21"/>
      <c r="E922" s="22"/>
      <c r="F922" s="22"/>
      <c r="G922" s="22"/>
      <c r="H922" s="22"/>
    </row>
    <row r="923">
      <c r="A923" s="11"/>
      <c r="B923" s="11"/>
      <c r="C923" s="11"/>
      <c r="D923" s="24"/>
      <c r="E923" s="25"/>
      <c r="F923" s="25"/>
      <c r="G923" s="25"/>
      <c r="H923" s="25"/>
    </row>
    <row r="924">
      <c r="A924" s="6"/>
      <c r="B924" s="6"/>
      <c r="C924" s="6"/>
      <c r="D924" s="21"/>
      <c r="E924" s="22"/>
      <c r="F924" s="22"/>
      <c r="G924" s="22"/>
      <c r="H924" s="22"/>
    </row>
    <row r="925">
      <c r="A925" s="11"/>
      <c r="B925" s="11"/>
      <c r="C925" s="11"/>
      <c r="D925" s="24"/>
      <c r="E925" s="25"/>
      <c r="F925" s="25"/>
      <c r="G925" s="25"/>
      <c r="H925" s="25"/>
    </row>
    <row r="926">
      <c r="A926" s="6"/>
      <c r="B926" s="6"/>
      <c r="C926" s="6"/>
      <c r="D926" s="21"/>
      <c r="E926" s="22"/>
      <c r="F926" s="22"/>
      <c r="G926" s="22"/>
      <c r="H926" s="22"/>
    </row>
    <row r="927">
      <c r="A927" s="11"/>
      <c r="B927" s="11"/>
      <c r="C927" s="11"/>
      <c r="D927" s="24"/>
      <c r="E927" s="25"/>
      <c r="F927" s="25"/>
      <c r="G927" s="25"/>
      <c r="H927" s="25"/>
    </row>
    <row r="928">
      <c r="A928" s="6"/>
      <c r="B928" s="6"/>
      <c r="C928" s="6"/>
      <c r="D928" s="21"/>
      <c r="E928" s="22"/>
      <c r="F928" s="22"/>
      <c r="G928" s="22"/>
      <c r="H928" s="22"/>
    </row>
    <row r="929">
      <c r="A929" s="11"/>
      <c r="B929" s="11"/>
      <c r="C929" s="11"/>
      <c r="D929" s="24"/>
      <c r="E929" s="25"/>
      <c r="F929" s="25"/>
      <c r="G929" s="25"/>
      <c r="H929" s="25"/>
    </row>
    <row r="930">
      <c r="A930" s="6"/>
      <c r="B930" s="6"/>
      <c r="C930" s="6"/>
      <c r="D930" s="21"/>
      <c r="E930" s="22"/>
      <c r="F930" s="22"/>
      <c r="G930" s="22"/>
      <c r="H930" s="22"/>
    </row>
    <row r="931">
      <c r="A931" s="11"/>
      <c r="B931" s="11"/>
      <c r="C931" s="11"/>
      <c r="D931" s="24"/>
      <c r="E931" s="25"/>
      <c r="F931" s="25"/>
      <c r="G931" s="25"/>
      <c r="H931" s="25"/>
    </row>
    <row r="932">
      <c r="A932" s="6"/>
      <c r="B932" s="6"/>
      <c r="C932" s="6"/>
      <c r="D932" s="21"/>
      <c r="E932" s="22"/>
      <c r="F932" s="22"/>
      <c r="G932" s="22"/>
      <c r="H932" s="22"/>
    </row>
    <row r="933">
      <c r="A933" s="11"/>
      <c r="B933" s="11"/>
      <c r="C933" s="11"/>
      <c r="D933" s="24"/>
      <c r="E933" s="25"/>
      <c r="F933" s="25"/>
      <c r="G933" s="25"/>
      <c r="H933" s="25"/>
    </row>
    <row r="934">
      <c r="A934" s="6"/>
      <c r="B934" s="6"/>
      <c r="C934" s="6"/>
      <c r="D934" s="21"/>
      <c r="E934" s="22"/>
      <c r="F934" s="22"/>
      <c r="G934" s="22"/>
      <c r="H934" s="22"/>
    </row>
    <row r="935">
      <c r="A935" s="11"/>
      <c r="B935" s="11"/>
      <c r="C935" s="11"/>
      <c r="D935" s="24"/>
      <c r="E935" s="25"/>
      <c r="F935" s="25"/>
      <c r="G935" s="25"/>
      <c r="H935" s="25"/>
    </row>
    <row r="936">
      <c r="A936" s="6"/>
      <c r="B936" s="6"/>
      <c r="C936" s="6"/>
      <c r="D936" s="21"/>
      <c r="E936" s="22"/>
      <c r="F936" s="22"/>
      <c r="G936" s="22"/>
      <c r="H936" s="22"/>
    </row>
    <row r="937">
      <c r="A937" s="11"/>
      <c r="B937" s="11"/>
      <c r="C937" s="11"/>
      <c r="D937" s="24"/>
      <c r="E937" s="25"/>
      <c r="F937" s="25"/>
      <c r="G937" s="25"/>
      <c r="H937" s="25"/>
    </row>
    <row r="938">
      <c r="A938" s="6"/>
      <c r="B938" s="6"/>
      <c r="C938" s="6"/>
      <c r="D938" s="21"/>
      <c r="E938" s="22"/>
      <c r="F938" s="22"/>
      <c r="G938" s="22"/>
      <c r="H938" s="22"/>
    </row>
    <row r="939">
      <c r="A939" s="11"/>
      <c r="B939" s="11"/>
      <c r="C939" s="11"/>
      <c r="D939" s="24"/>
      <c r="E939" s="25"/>
      <c r="F939" s="25"/>
      <c r="G939" s="25"/>
      <c r="H939" s="25"/>
    </row>
    <row r="940">
      <c r="A940" s="6"/>
      <c r="B940" s="6"/>
      <c r="C940" s="6"/>
      <c r="D940" s="21"/>
      <c r="E940" s="22"/>
      <c r="F940" s="22"/>
      <c r="G940" s="22"/>
      <c r="H940" s="22"/>
    </row>
    <row r="941">
      <c r="A941" s="11"/>
      <c r="B941" s="11"/>
      <c r="C941" s="11"/>
      <c r="D941" s="24"/>
      <c r="E941" s="25"/>
      <c r="F941" s="25"/>
      <c r="G941" s="25"/>
      <c r="H941" s="25"/>
    </row>
    <row r="942">
      <c r="A942" s="6"/>
      <c r="B942" s="6"/>
      <c r="C942" s="6"/>
      <c r="D942" s="21"/>
      <c r="E942" s="22"/>
      <c r="F942" s="22"/>
      <c r="G942" s="22"/>
      <c r="H942" s="22"/>
    </row>
    <row r="943">
      <c r="A943" s="11"/>
      <c r="B943" s="11"/>
      <c r="C943" s="11"/>
      <c r="D943" s="24"/>
      <c r="E943" s="25"/>
      <c r="F943" s="25"/>
      <c r="G943" s="25"/>
      <c r="H943" s="25"/>
    </row>
    <row r="944">
      <c r="A944" s="6"/>
      <c r="B944" s="6"/>
      <c r="C944" s="6"/>
      <c r="D944" s="21"/>
      <c r="E944" s="22"/>
      <c r="F944" s="22"/>
      <c r="G944" s="22"/>
      <c r="H944" s="22"/>
    </row>
    <row r="945">
      <c r="A945" s="11"/>
      <c r="B945" s="11"/>
      <c r="C945" s="11"/>
      <c r="D945" s="24"/>
      <c r="E945" s="25"/>
      <c r="F945" s="25"/>
      <c r="G945" s="25"/>
      <c r="H945" s="25"/>
    </row>
    <row r="946">
      <c r="A946" s="6"/>
      <c r="B946" s="6"/>
      <c r="C946" s="6"/>
      <c r="D946" s="21"/>
      <c r="E946" s="22"/>
      <c r="F946" s="22"/>
      <c r="G946" s="22"/>
      <c r="H946" s="22"/>
    </row>
    <row r="947">
      <c r="A947" s="11"/>
      <c r="B947" s="11"/>
      <c r="C947" s="11"/>
      <c r="D947" s="24"/>
      <c r="E947" s="25"/>
      <c r="F947" s="25"/>
      <c r="G947" s="25"/>
      <c r="H947" s="25"/>
    </row>
    <row r="948">
      <c r="A948" s="6"/>
      <c r="B948" s="6"/>
      <c r="C948" s="6"/>
      <c r="D948" s="21"/>
      <c r="E948" s="22"/>
      <c r="F948" s="22"/>
      <c r="G948" s="22"/>
      <c r="H948" s="22"/>
    </row>
    <row r="949">
      <c r="A949" s="11"/>
      <c r="B949" s="11"/>
      <c r="C949" s="11"/>
      <c r="D949" s="24"/>
      <c r="E949" s="25"/>
      <c r="F949" s="25"/>
      <c r="G949" s="25"/>
      <c r="H949" s="25"/>
    </row>
    <row r="950">
      <c r="A950" s="6"/>
      <c r="B950" s="6"/>
      <c r="C950" s="6"/>
      <c r="D950" s="21"/>
      <c r="E950" s="22"/>
      <c r="F950" s="22"/>
      <c r="G950" s="22"/>
      <c r="H950" s="22"/>
    </row>
    <row r="951">
      <c r="A951" s="11"/>
      <c r="B951" s="11"/>
      <c r="C951" s="11"/>
      <c r="D951" s="24"/>
      <c r="E951" s="25"/>
      <c r="F951" s="25"/>
      <c r="G951" s="25"/>
      <c r="H951" s="25"/>
    </row>
    <row r="952">
      <c r="A952" s="6"/>
      <c r="B952" s="6"/>
      <c r="C952" s="6"/>
      <c r="D952" s="21"/>
      <c r="E952" s="22"/>
      <c r="F952" s="22"/>
      <c r="G952" s="22"/>
      <c r="H952" s="22"/>
    </row>
    <row r="953">
      <c r="A953" s="11"/>
      <c r="B953" s="11"/>
      <c r="C953" s="11"/>
      <c r="D953" s="24"/>
      <c r="E953" s="25"/>
      <c r="F953" s="25"/>
      <c r="G953" s="25"/>
      <c r="H953" s="25"/>
    </row>
    <row r="954">
      <c r="A954" s="6"/>
      <c r="B954" s="6"/>
      <c r="C954" s="6"/>
      <c r="D954" s="21"/>
      <c r="E954" s="22"/>
      <c r="F954" s="22"/>
      <c r="G954" s="22"/>
      <c r="H954" s="22"/>
    </row>
    <row r="955">
      <c r="A955" s="11"/>
      <c r="B955" s="11"/>
      <c r="C955" s="11"/>
      <c r="D955" s="24"/>
      <c r="E955" s="25"/>
      <c r="F955" s="25"/>
      <c r="G955" s="25"/>
      <c r="H955" s="25"/>
    </row>
    <row r="956">
      <c r="A956" s="6"/>
      <c r="B956" s="6"/>
      <c r="C956" s="6"/>
      <c r="D956" s="21"/>
      <c r="E956" s="22"/>
      <c r="F956" s="22"/>
      <c r="G956" s="22"/>
      <c r="H956" s="22"/>
    </row>
    <row r="957">
      <c r="A957" s="11"/>
      <c r="B957" s="11"/>
      <c r="C957" s="11"/>
      <c r="D957" s="24"/>
      <c r="E957" s="25"/>
      <c r="F957" s="25"/>
      <c r="G957" s="25"/>
      <c r="H957" s="25"/>
    </row>
    <row r="958">
      <c r="A958" s="6"/>
      <c r="B958" s="6"/>
      <c r="C958" s="6"/>
      <c r="D958" s="21"/>
      <c r="E958" s="22"/>
      <c r="F958" s="22"/>
      <c r="G958" s="22"/>
      <c r="H958" s="22"/>
    </row>
    <row r="959">
      <c r="A959" s="11"/>
      <c r="B959" s="11"/>
      <c r="C959" s="11"/>
      <c r="D959" s="24"/>
      <c r="E959" s="25"/>
      <c r="F959" s="25"/>
      <c r="G959" s="25"/>
      <c r="H959" s="25"/>
    </row>
    <row r="960">
      <c r="A960" s="6"/>
      <c r="B960" s="6"/>
      <c r="C960" s="6"/>
      <c r="D960" s="21"/>
      <c r="E960" s="22"/>
      <c r="F960" s="22"/>
      <c r="G960" s="22"/>
      <c r="H960" s="22"/>
    </row>
    <row r="961">
      <c r="A961" s="11"/>
      <c r="B961" s="11"/>
      <c r="C961" s="11"/>
      <c r="D961" s="24"/>
      <c r="E961" s="25"/>
      <c r="F961" s="25"/>
      <c r="G961" s="25"/>
      <c r="H961" s="25"/>
    </row>
    <row r="962">
      <c r="A962" s="6"/>
      <c r="B962" s="6"/>
      <c r="C962" s="6"/>
      <c r="D962" s="21"/>
      <c r="E962" s="22"/>
      <c r="F962" s="22"/>
      <c r="G962" s="22"/>
      <c r="H962" s="22"/>
    </row>
    <row r="963">
      <c r="A963" s="11"/>
      <c r="B963" s="11"/>
      <c r="C963" s="11"/>
      <c r="D963" s="24"/>
      <c r="E963" s="25"/>
      <c r="F963" s="25"/>
      <c r="G963" s="25"/>
      <c r="H963" s="25"/>
    </row>
    <row r="964">
      <c r="A964" s="6"/>
      <c r="B964" s="6"/>
      <c r="C964" s="6"/>
      <c r="D964" s="21"/>
      <c r="E964" s="22"/>
      <c r="F964" s="22"/>
      <c r="G964" s="22"/>
      <c r="H964" s="22"/>
    </row>
    <row r="965">
      <c r="A965" s="11"/>
      <c r="B965" s="11"/>
      <c r="C965" s="11"/>
      <c r="D965" s="24"/>
      <c r="E965" s="25"/>
      <c r="F965" s="25"/>
      <c r="G965" s="25"/>
      <c r="H965" s="25"/>
    </row>
    <row r="966">
      <c r="A966" s="6"/>
      <c r="B966" s="6"/>
      <c r="C966" s="6"/>
      <c r="D966" s="21"/>
      <c r="E966" s="22"/>
      <c r="F966" s="22"/>
      <c r="G966" s="22"/>
      <c r="H966" s="22"/>
    </row>
    <row r="967">
      <c r="A967" s="11"/>
      <c r="B967" s="11"/>
      <c r="C967" s="11"/>
      <c r="D967" s="24"/>
      <c r="E967" s="25"/>
      <c r="F967" s="25"/>
      <c r="G967" s="25"/>
      <c r="H967" s="25"/>
    </row>
    <row r="968">
      <c r="A968" s="6"/>
      <c r="B968" s="6"/>
      <c r="C968" s="6"/>
      <c r="D968" s="21"/>
      <c r="E968" s="22"/>
      <c r="F968" s="22"/>
      <c r="G968" s="22"/>
      <c r="H968" s="22"/>
    </row>
    <row r="969">
      <c r="A969" s="11"/>
      <c r="B969" s="11"/>
      <c r="C969" s="11"/>
      <c r="D969" s="24"/>
      <c r="E969" s="25"/>
      <c r="F969" s="25"/>
      <c r="G969" s="25"/>
      <c r="H969" s="25"/>
    </row>
    <row r="970">
      <c r="A970" s="6"/>
      <c r="B970" s="6"/>
      <c r="C970" s="6"/>
      <c r="D970" s="21"/>
      <c r="E970" s="22"/>
      <c r="F970" s="22"/>
      <c r="G970" s="22"/>
      <c r="H970" s="22"/>
    </row>
    <row r="971">
      <c r="A971" s="11"/>
      <c r="B971" s="11"/>
      <c r="C971" s="11"/>
      <c r="D971" s="24"/>
      <c r="E971" s="25"/>
      <c r="F971" s="25"/>
      <c r="G971" s="25"/>
      <c r="H971" s="25"/>
    </row>
    <row r="972">
      <c r="A972" s="6"/>
      <c r="B972" s="6"/>
      <c r="C972" s="6"/>
      <c r="D972" s="21"/>
      <c r="E972" s="22"/>
      <c r="F972" s="22"/>
      <c r="G972" s="22"/>
      <c r="H972" s="22"/>
    </row>
    <row r="973">
      <c r="A973" s="11"/>
      <c r="B973" s="11"/>
      <c r="C973" s="11"/>
      <c r="D973" s="24"/>
      <c r="E973" s="25"/>
      <c r="F973" s="25"/>
      <c r="G973" s="25"/>
      <c r="H973" s="25"/>
    </row>
    <row r="974">
      <c r="A974" s="6"/>
      <c r="B974" s="6"/>
      <c r="C974" s="6"/>
      <c r="D974" s="21"/>
      <c r="E974" s="22"/>
      <c r="F974" s="22"/>
      <c r="G974" s="22"/>
      <c r="H974" s="22"/>
    </row>
    <row r="975">
      <c r="A975" s="11"/>
      <c r="B975" s="11"/>
      <c r="C975" s="11"/>
      <c r="D975" s="24"/>
      <c r="E975" s="25"/>
      <c r="F975" s="25"/>
      <c r="G975" s="25"/>
      <c r="H975" s="25"/>
    </row>
    <row r="976">
      <c r="A976" s="6"/>
      <c r="B976" s="6"/>
      <c r="C976" s="6"/>
      <c r="D976" s="21"/>
      <c r="E976" s="22"/>
      <c r="F976" s="22"/>
      <c r="G976" s="22"/>
      <c r="H976" s="22"/>
    </row>
    <row r="977">
      <c r="A977" s="11"/>
      <c r="B977" s="11"/>
      <c r="C977" s="11"/>
      <c r="D977" s="24"/>
      <c r="E977" s="25"/>
      <c r="F977" s="25"/>
      <c r="G977" s="25"/>
      <c r="H977" s="25"/>
    </row>
    <row r="978">
      <c r="A978" s="6"/>
      <c r="B978" s="6"/>
      <c r="C978" s="6"/>
      <c r="D978" s="21"/>
      <c r="E978" s="22"/>
      <c r="F978" s="22"/>
      <c r="G978" s="22"/>
      <c r="H978" s="22"/>
    </row>
    <row r="979">
      <c r="A979" s="11"/>
      <c r="B979" s="11"/>
      <c r="C979" s="11"/>
      <c r="D979" s="24"/>
      <c r="E979" s="25"/>
      <c r="F979" s="25"/>
      <c r="G979" s="25"/>
      <c r="H979" s="25"/>
    </row>
    <row r="980">
      <c r="A980" s="6"/>
      <c r="B980" s="6"/>
      <c r="C980" s="6"/>
      <c r="D980" s="21"/>
      <c r="E980" s="22"/>
      <c r="F980" s="22"/>
      <c r="G980" s="22"/>
      <c r="H980" s="22"/>
    </row>
    <row r="981">
      <c r="A981" s="11"/>
      <c r="B981" s="11"/>
      <c r="C981" s="11"/>
      <c r="D981" s="24"/>
      <c r="E981" s="25"/>
      <c r="F981" s="25"/>
      <c r="G981" s="25"/>
      <c r="H981" s="25"/>
    </row>
    <row r="982">
      <c r="A982" s="6"/>
      <c r="B982" s="6"/>
      <c r="C982" s="6"/>
      <c r="D982" s="21"/>
      <c r="E982" s="22"/>
      <c r="F982" s="22"/>
      <c r="G982" s="22"/>
      <c r="H982" s="22"/>
    </row>
    <row r="983">
      <c r="A983" s="11"/>
      <c r="B983" s="11"/>
      <c r="C983" s="11"/>
      <c r="D983" s="24"/>
      <c r="E983" s="25"/>
      <c r="F983" s="25"/>
      <c r="G983" s="25"/>
      <c r="H983" s="25"/>
    </row>
    <row r="984">
      <c r="A984" s="6"/>
      <c r="B984" s="6"/>
      <c r="C984" s="6"/>
      <c r="D984" s="21"/>
      <c r="E984" s="22"/>
      <c r="F984" s="22"/>
      <c r="G984" s="22"/>
      <c r="H984" s="22"/>
    </row>
    <row r="985">
      <c r="A985" s="11"/>
      <c r="B985" s="11"/>
      <c r="C985" s="11"/>
      <c r="D985" s="24"/>
      <c r="E985" s="25"/>
      <c r="F985" s="25"/>
      <c r="G985" s="25"/>
      <c r="H985" s="25"/>
    </row>
    <row r="986">
      <c r="A986" s="6"/>
      <c r="B986" s="6"/>
      <c r="C986" s="6"/>
      <c r="D986" s="21"/>
      <c r="E986" s="22"/>
      <c r="F986" s="22"/>
      <c r="G986" s="22"/>
      <c r="H986" s="22"/>
    </row>
    <row r="987">
      <c r="A987" s="11"/>
      <c r="B987" s="11"/>
      <c r="C987" s="11"/>
      <c r="D987" s="24"/>
      <c r="E987" s="25"/>
      <c r="F987" s="25"/>
      <c r="G987" s="25"/>
      <c r="H987" s="25"/>
    </row>
    <row r="988">
      <c r="A988" s="6"/>
      <c r="B988" s="6"/>
      <c r="C988" s="6"/>
      <c r="D988" s="21"/>
      <c r="E988" s="22"/>
      <c r="F988" s="22"/>
      <c r="G988" s="22"/>
      <c r="H988" s="22"/>
    </row>
    <row r="989">
      <c r="A989" s="11"/>
      <c r="B989" s="11"/>
      <c r="C989" s="11"/>
      <c r="D989" s="24"/>
      <c r="E989" s="25"/>
      <c r="F989" s="25"/>
      <c r="G989" s="25"/>
      <c r="H989" s="25"/>
    </row>
    <row r="990">
      <c r="A990" s="6"/>
      <c r="B990" s="6"/>
      <c r="C990" s="6"/>
      <c r="D990" s="21"/>
      <c r="E990" s="22"/>
      <c r="F990" s="22"/>
      <c r="G990" s="22"/>
      <c r="H990" s="22"/>
    </row>
    <row r="991">
      <c r="A991" s="11"/>
      <c r="B991" s="11"/>
      <c r="C991" s="11"/>
      <c r="D991" s="24"/>
      <c r="E991" s="25"/>
      <c r="F991" s="25"/>
      <c r="G991" s="25"/>
      <c r="H991" s="25"/>
    </row>
    <row r="992">
      <c r="A992" s="6"/>
      <c r="B992" s="6"/>
      <c r="C992" s="6"/>
      <c r="D992" s="21"/>
      <c r="E992" s="22"/>
      <c r="F992" s="22"/>
      <c r="G992" s="22"/>
      <c r="H992" s="22"/>
    </row>
    <row r="993">
      <c r="A993" s="11"/>
      <c r="B993" s="11"/>
      <c r="C993" s="11"/>
      <c r="D993" s="24"/>
      <c r="E993" s="25"/>
      <c r="F993" s="25"/>
      <c r="G993" s="25"/>
      <c r="H993" s="25"/>
    </row>
    <row r="994">
      <c r="A994" s="6"/>
      <c r="B994" s="6"/>
      <c r="C994" s="6"/>
      <c r="D994" s="21"/>
      <c r="E994" s="22"/>
      <c r="F994" s="22"/>
      <c r="G994" s="22"/>
      <c r="H994" s="22"/>
    </row>
    <row r="995">
      <c r="A995" s="11"/>
      <c r="B995" s="11"/>
      <c r="C995" s="11"/>
      <c r="D995" s="24"/>
      <c r="E995" s="25"/>
      <c r="F995" s="25"/>
      <c r="G995" s="25"/>
      <c r="H995" s="25"/>
    </row>
    <row r="996">
      <c r="A996" s="6"/>
      <c r="B996" s="6"/>
      <c r="C996" s="6"/>
      <c r="D996" s="21"/>
      <c r="E996" s="22"/>
      <c r="F996" s="22"/>
      <c r="G996" s="22"/>
      <c r="H996" s="22"/>
    </row>
    <row r="997">
      <c r="A997" s="11"/>
      <c r="B997" s="11"/>
      <c r="C997" s="11"/>
      <c r="D997" s="24"/>
      <c r="E997" s="25"/>
      <c r="F997" s="25"/>
      <c r="G997" s="25"/>
      <c r="H997" s="25"/>
    </row>
    <row r="998">
      <c r="A998" s="6"/>
      <c r="B998" s="6"/>
      <c r="C998" s="6"/>
      <c r="D998" s="21"/>
      <c r="E998" s="22"/>
      <c r="F998" s="22"/>
      <c r="G998" s="22"/>
      <c r="H998" s="22"/>
    </row>
    <row r="999">
      <c r="A999" s="11"/>
      <c r="B999" s="11"/>
      <c r="C999" s="11"/>
      <c r="D999" s="24"/>
      <c r="E999" s="25"/>
      <c r="F999" s="25"/>
      <c r="G999" s="25"/>
      <c r="H999" s="25"/>
    </row>
    <row r="1000">
      <c r="A1000" s="6"/>
      <c r="B1000" s="6"/>
      <c r="C1000" s="6"/>
      <c r="D1000" s="21"/>
      <c r="E1000" s="22"/>
      <c r="F1000" s="22"/>
      <c r="G1000" s="22"/>
      <c r="H1000" s="22"/>
    </row>
    <row r="1001">
      <c r="A1001" s="11"/>
      <c r="B1001" s="11"/>
      <c r="C1001" s="11"/>
      <c r="D1001" s="24"/>
      <c r="E1001" s="25"/>
      <c r="F1001" s="25"/>
      <c r="G1001" s="25"/>
      <c r="H1001" s="25"/>
    </row>
  </sheetData>
  <autoFilter ref="$A$1:$H$1001"/>
  <conditionalFormatting sqref="E1:F1001">
    <cfRule type="containsText" dxfId="1" priority="1" operator="containsText" text="NOK">
      <formula>NOT(ISERROR(SEARCH(("NOK"),(E1))))</formula>
    </cfRule>
  </conditionalFormatting>
  <conditionalFormatting sqref="E1:F1001">
    <cfRule type="cellIs" dxfId="2" priority="2" operator="equal">
      <formula>"OK"</formula>
    </cfRule>
  </conditionalFormatting>
  <dataValidations>
    <dataValidation type="list" allowBlank="1" showErrorMessage="1" sqref="B235:B1001">
      <formula1>"David,Gema,Enric"</formula1>
    </dataValidation>
    <dataValidation type="list" allowBlank="1" showErrorMessage="1" sqref="A2:A1001">
      <formula1>"630 849 333,673 304 063,647 760 222"</formula1>
    </dataValidation>
    <dataValidation type="list" allowBlank="1" showErrorMessage="1" sqref="C2:C1001">
      <formula1>"Incidencia,Consulta"</formula1>
    </dataValidation>
    <dataValidation type="list" allowBlank="1" showErrorMessage="1" sqref="G2:G34">
      <formula1>"Bien,Mejorable,Mal"</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30.0"/>
    <col customWidth="1" min="3" max="3" width="23.63"/>
    <col customWidth="1" min="4" max="4" width="85.0"/>
    <col customWidth="1" min="5" max="6" width="40.25"/>
    <col customWidth="1" min="7" max="7" width="37.13"/>
    <col customWidth="1" min="8" max="8" width="107.75"/>
  </cols>
  <sheetData>
    <row r="1">
      <c r="A1" s="32" t="s">
        <v>0</v>
      </c>
      <c r="B1" s="32" t="s">
        <v>108</v>
      </c>
      <c r="C1" s="32" t="s">
        <v>2</v>
      </c>
      <c r="D1" s="32" t="s">
        <v>109</v>
      </c>
      <c r="E1" s="33" t="s">
        <v>110</v>
      </c>
      <c r="F1" s="33" t="s">
        <v>111</v>
      </c>
      <c r="G1" s="33" t="s">
        <v>112</v>
      </c>
      <c r="H1" s="33" t="s">
        <v>113</v>
      </c>
      <c r="I1" s="5"/>
      <c r="J1" s="5"/>
      <c r="K1" s="5"/>
      <c r="L1" s="5"/>
      <c r="M1" s="5"/>
      <c r="N1" s="5"/>
      <c r="O1" s="5"/>
      <c r="P1" s="5"/>
      <c r="Q1" s="5"/>
      <c r="R1" s="5"/>
      <c r="S1" s="5"/>
      <c r="T1" s="5"/>
      <c r="U1" s="5"/>
      <c r="V1" s="5"/>
      <c r="W1" s="5"/>
      <c r="X1" s="5"/>
    </row>
    <row r="2">
      <c r="A2" s="6">
        <v>3.4621415547E10</v>
      </c>
      <c r="B2" s="34" t="s">
        <v>276</v>
      </c>
      <c r="C2" s="35" t="s">
        <v>10</v>
      </c>
      <c r="D2" s="7" t="s">
        <v>277</v>
      </c>
      <c r="E2" s="27" t="s">
        <v>130</v>
      </c>
      <c r="F2" s="27" t="s">
        <v>130</v>
      </c>
      <c r="G2" s="27" t="s">
        <v>117</v>
      </c>
      <c r="H2" s="7" t="s">
        <v>278</v>
      </c>
    </row>
    <row r="3">
      <c r="A3" s="11">
        <v>3.4627462016E10</v>
      </c>
      <c r="B3" s="36" t="s">
        <v>279</v>
      </c>
      <c r="C3" s="37" t="s">
        <v>30</v>
      </c>
      <c r="D3" s="12" t="s">
        <v>280</v>
      </c>
      <c r="E3" s="28" t="s">
        <v>116</v>
      </c>
      <c r="F3" s="28" t="s">
        <v>116</v>
      </c>
      <c r="G3" s="28" t="s">
        <v>124</v>
      </c>
      <c r="H3" s="12"/>
    </row>
    <row r="4">
      <c r="A4" s="6">
        <v>3.4618976932E10</v>
      </c>
      <c r="B4" s="34" t="s">
        <v>281</v>
      </c>
      <c r="C4" s="35" t="s">
        <v>10</v>
      </c>
      <c r="D4" s="7" t="s">
        <v>282</v>
      </c>
      <c r="E4" s="27" t="s">
        <v>130</v>
      </c>
      <c r="F4" s="27" t="s">
        <v>130</v>
      </c>
      <c r="G4" s="27" t="s">
        <v>124</v>
      </c>
      <c r="H4" s="7"/>
    </row>
    <row r="5">
      <c r="A5" s="11">
        <v>3.4689084997E10</v>
      </c>
      <c r="B5" s="36" t="s">
        <v>283</v>
      </c>
      <c r="C5" s="37" t="s">
        <v>10</v>
      </c>
      <c r="D5" s="12" t="s">
        <v>284</v>
      </c>
      <c r="E5" s="28" t="s">
        <v>116</v>
      </c>
      <c r="F5" s="28" t="s">
        <v>116</v>
      </c>
      <c r="G5" s="28" t="s">
        <v>124</v>
      </c>
      <c r="H5" s="12"/>
    </row>
    <row r="6">
      <c r="A6" s="6">
        <v>3.4605630267E10</v>
      </c>
      <c r="B6" s="34" t="s">
        <v>285</v>
      </c>
      <c r="C6" s="35" t="s">
        <v>10</v>
      </c>
      <c r="D6" s="7" t="s">
        <v>286</v>
      </c>
      <c r="E6" s="27" t="s">
        <v>130</v>
      </c>
      <c r="F6" s="27" t="s">
        <v>130</v>
      </c>
      <c r="G6" s="27" t="s">
        <v>124</v>
      </c>
      <c r="H6" s="7"/>
    </row>
    <row r="7">
      <c r="A7" s="11">
        <v>3.06972976878E11</v>
      </c>
      <c r="B7" s="36" t="s">
        <v>287</v>
      </c>
      <c r="C7" s="37" t="s">
        <v>30</v>
      </c>
      <c r="D7" s="12" t="s">
        <v>288</v>
      </c>
      <c r="E7" s="28" t="s">
        <v>116</v>
      </c>
      <c r="F7" s="28" t="s">
        <v>116</v>
      </c>
      <c r="G7" s="28" t="s">
        <v>117</v>
      </c>
      <c r="H7" s="12" t="s">
        <v>289</v>
      </c>
    </row>
    <row r="8">
      <c r="A8" s="6">
        <v>3.4646731803E10</v>
      </c>
      <c r="B8" s="34" t="s">
        <v>290</v>
      </c>
      <c r="C8" s="35" t="s">
        <v>10</v>
      </c>
      <c r="D8" s="7" t="s">
        <v>291</v>
      </c>
      <c r="E8" s="27" t="s">
        <v>130</v>
      </c>
      <c r="F8" s="27" t="s">
        <v>130</v>
      </c>
      <c r="G8" s="27" t="s">
        <v>124</v>
      </c>
      <c r="H8" s="7"/>
    </row>
    <row r="9">
      <c r="A9" s="11">
        <v>3.4605630267E10</v>
      </c>
      <c r="B9" s="36" t="s">
        <v>292</v>
      </c>
      <c r="C9" s="37" t="s">
        <v>30</v>
      </c>
      <c r="D9" s="12" t="s">
        <v>293</v>
      </c>
      <c r="E9" s="28" t="s">
        <v>130</v>
      </c>
      <c r="F9" s="28" t="s">
        <v>130</v>
      </c>
      <c r="G9" s="28" t="s">
        <v>124</v>
      </c>
      <c r="H9" s="12"/>
    </row>
    <row r="10">
      <c r="A10" s="6">
        <v>3.4638793387E10</v>
      </c>
      <c r="B10" s="34" t="s">
        <v>294</v>
      </c>
      <c r="C10" s="35" t="s">
        <v>30</v>
      </c>
      <c r="D10" s="7" t="s">
        <v>295</v>
      </c>
      <c r="E10" s="27" t="s">
        <v>116</v>
      </c>
      <c r="F10" s="27" t="s">
        <v>116</v>
      </c>
      <c r="G10" s="27" t="s">
        <v>124</v>
      </c>
      <c r="H10" s="7"/>
    </row>
    <row r="11">
      <c r="A11" s="11">
        <v>3.4677785238E10</v>
      </c>
      <c r="B11" s="36" t="s">
        <v>296</v>
      </c>
      <c r="C11" s="37" t="s">
        <v>30</v>
      </c>
      <c r="D11" s="12" t="s">
        <v>297</v>
      </c>
      <c r="E11" s="28" t="s">
        <v>116</v>
      </c>
      <c r="F11" s="28" t="s">
        <v>116</v>
      </c>
      <c r="G11" s="28" t="s">
        <v>124</v>
      </c>
      <c r="H11" s="12"/>
    </row>
    <row r="12">
      <c r="A12" s="6">
        <v>3.4654337788E10</v>
      </c>
      <c r="B12" s="34" t="s">
        <v>298</v>
      </c>
      <c r="C12" s="35" t="s">
        <v>30</v>
      </c>
      <c r="D12" s="7" t="s">
        <v>299</v>
      </c>
      <c r="E12" s="27" t="s">
        <v>116</v>
      </c>
      <c r="F12" s="27" t="s">
        <v>116</v>
      </c>
      <c r="G12" s="27" t="s">
        <v>124</v>
      </c>
      <c r="H12" s="7"/>
    </row>
    <row r="13">
      <c r="A13" s="11">
        <v>3.4626462723E10</v>
      </c>
      <c r="B13" s="36" t="s">
        <v>300</v>
      </c>
      <c r="C13" s="37" t="s">
        <v>10</v>
      </c>
      <c r="D13" s="12" t="s">
        <v>301</v>
      </c>
      <c r="E13" s="28" t="s">
        <v>130</v>
      </c>
      <c r="F13" s="28" t="s">
        <v>130</v>
      </c>
      <c r="G13" s="28" t="s">
        <v>124</v>
      </c>
      <c r="H13" s="12"/>
    </row>
    <row r="14">
      <c r="A14" s="6">
        <v>1.2029858903E10</v>
      </c>
      <c r="B14" s="34" t="s">
        <v>302</v>
      </c>
      <c r="C14" s="35" t="s">
        <v>10</v>
      </c>
      <c r="D14" s="7" t="s">
        <v>303</v>
      </c>
      <c r="E14" s="27" t="s">
        <v>130</v>
      </c>
      <c r="F14" s="27" t="s">
        <v>130</v>
      </c>
      <c r="G14" s="27" t="s">
        <v>124</v>
      </c>
      <c r="H14" s="7"/>
    </row>
    <row r="15">
      <c r="A15" s="11">
        <v>3.06972976878E11</v>
      </c>
      <c r="B15" s="36" t="s">
        <v>304</v>
      </c>
      <c r="C15" s="37" t="s">
        <v>10</v>
      </c>
      <c r="D15" s="12" t="s">
        <v>305</v>
      </c>
      <c r="E15" s="28" t="s">
        <v>130</v>
      </c>
      <c r="F15" s="28" t="s">
        <v>130</v>
      </c>
      <c r="G15" s="28" t="s">
        <v>117</v>
      </c>
      <c r="H15" s="12" t="s">
        <v>306</v>
      </c>
    </row>
    <row r="16">
      <c r="A16" s="6">
        <v>3.4662215218E10</v>
      </c>
      <c r="B16" s="34" t="s">
        <v>307</v>
      </c>
      <c r="C16" s="35" t="s">
        <v>30</v>
      </c>
      <c r="D16" s="7" t="s">
        <v>308</v>
      </c>
      <c r="E16" s="27" t="s">
        <v>116</v>
      </c>
      <c r="F16" s="27" t="s">
        <v>116</v>
      </c>
      <c r="G16" s="27" t="s">
        <v>159</v>
      </c>
      <c r="H16" s="7" t="s">
        <v>309</v>
      </c>
    </row>
    <row r="17">
      <c r="A17" s="11">
        <v>3.469025932E10</v>
      </c>
      <c r="B17" s="36" t="s">
        <v>310</v>
      </c>
      <c r="C17" s="37" t="s">
        <v>10</v>
      </c>
      <c r="D17" s="12" t="s">
        <v>311</v>
      </c>
      <c r="E17" s="28" t="s">
        <v>130</v>
      </c>
      <c r="F17" s="28" t="s">
        <v>130</v>
      </c>
      <c r="G17" s="28" t="s">
        <v>124</v>
      </c>
      <c r="H17" s="29"/>
    </row>
    <row r="18">
      <c r="A18" s="6">
        <v>3.4679085859E10</v>
      </c>
      <c r="B18" s="34" t="s">
        <v>312</v>
      </c>
      <c r="C18" s="35" t="s">
        <v>30</v>
      </c>
      <c r="D18" s="17" t="s">
        <v>313</v>
      </c>
      <c r="E18" s="27" t="s">
        <v>116</v>
      </c>
      <c r="F18" s="27" t="s">
        <v>116</v>
      </c>
      <c r="G18" s="27" t="s">
        <v>159</v>
      </c>
      <c r="H18" s="7" t="s">
        <v>314</v>
      </c>
      <c r="I18" s="20"/>
      <c r="J18" s="20"/>
      <c r="K18" s="20"/>
      <c r="L18" s="20"/>
      <c r="M18" s="20"/>
      <c r="N18" s="20"/>
      <c r="O18" s="20"/>
      <c r="P18" s="20"/>
      <c r="Q18" s="20"/>
      <c r="R18" s="20"/>
      <c r="S18" s="20"/>
      <c r="T18" s="20"/>
      <c r="U18" s="20"/>
      <c r="V18" s="20"/>
      <c r="W18" s="20"/>
      <c r="X18" s="20"/>
    </row>
    <row r="19">
      <c r="A19" s="11">
        <v>3.06972976878E11</v>
      </c>
      <c r="B19" s="38">
        <v>45668.06180555555</v>
      </c>
      <c r="C19" s="37" t="s">
        <v>10</v>
      </c>
      <c r="D19" s="12" t="s">
        <v>315</v>
      </c>
      <c r="E19" s="28" t="s">
        <v>130</v>
      </c>
      <c r="F19" s="28" t="s">
        <v>130</v>
      </c>
      <c r="G19" s="28" t="s">
        <v>159</v>
      </c>
      <c r="H19" s="12" t="s">
        <v>316</v>
      </c>
    </row>
    <row r="20">
      <c r="A20" s="6">
        <v>1.2082601323E10</v>
      </c>
      <c r="B20" s="39">
        <v>45668.42152777778</v>
      </c>
      <c r="C20" s="35" t="s">
        <v>10</v>
      </c>
      <c r="D20" s="7" t="s">
        <v>317</v>
      </c>
      <c r="E20" s="27" t="s">
        <v>130</v>
      </c>
      <c r="F20" s="27" t="s">
        <v>130</v>
      </c>
      <c r="G20" s="27" t="s">
        <v>159</v>
      </c>
      <c r="H20" s="7" t="s">
        <v>316</v>
      </c>
    </row>
    <row r="21">
      <c r="A21" s="11">
        <v>3.4626696661E10</v>
      </c>
      <c r="B21" s="38">
        <v>45668.615277777775</v>
      </c>
      <c r="C21" s="37" t="s">
        <v>10</v>
      </c>
      <c r="D21" s="12" t="s">
        <v>318</v>
      </c>
      <c r="E21" s="28" t="s">
        <v>130</v>
      </c>
      <c r="F21" s="28" t="s">
        <v>130</v>
      </c>
      <c r="G21" s="28" t="s">
        <v>124</v>
      </c>
      <c r="H21" s="12"/>
    </row>
    <row r="22">
      <c r="A22" s="6">
        <v>3.4617179066E10</v>
      </c>
      <c r="B22" s="39">
        <v>45699.07430555556</v>
      </c>
      <c r="C22" s="35" t="s">
        <v>30</v>
      </c>
      <c r="D22" s="7" t="s">
        <v>319</v>
      </c>
      <c r="E22" s="27" t="s">
        <v>116</v>
      </c>
      <c r="F22" s="27" t="s">
        <v>116</v>
      </c>
      <c r="G22" s="27" t="s">
        <v>159</v>
      </c>
      <c r="H22" s="7" t="s">
        <v>320</v>
      </c>
    </row>
    <row r="23">
      <c r="A23" s="11">
        <v>3.06972976878E11</v>
      </c>
      <c r="B23" s="38">
        <v>45699.458333333336</v>
      </c>
      <c r="C23" s="37" t="s">
        <v>30</v>
      </c>
      <c r="D23" s="12" t="s">
        <v>321</v>
      </c>
      <c r="E23" s="28" t="s">
        <v>116</v>
      </c>
      <c r="F23" s="28" t="s">
        <v>116</v>
      </c>
      <c r="G23" s="28" t="s">
        <v>124</v>
      </c>
      <c r="H23" s="12"/>
    </row>
    <row r="24">
      <c r="A24" s="6">
        <v>3.4627462016E10</v>
      </c>
      <c r="B24" s="39">
        <v>45699.48263888889</v>
      </c>
      <c r="C24" s="35" t="s">
        <v>10</v>
      </c>
      <c r="D24" s="7" t="s">
        <v>322</v>
      </c>
      <c r="E24" s="27" t="s">
        <v>130</v>
      </c>
      <c r="F24" s="27" t="s">
        <v>130</v>
      </c>
      <c r="G24" s="27" t="s">
        <v>124</v>
      </c>
      <c r="H24" s="7"/>
    </row>
    <row r="25">
      <c r="A25" s="11">
        <v>3.4609539267E10</v>
      </c>
      <c r="B25" s="38">
        <v>45699.520833333336</v>
      </c>
      <c r="C25" s="37" t="s">
        <v>10</v>
      </c>
      <c r="D25" s="12" t="s">
        <v>323</v>
      </c>
      <c r="E25" s="28" t="s">
        <v>130</v>
      </c>
      <c r="F25" s="28" t="s">
        <v>130</v>
      </c>
      <c r="G25" s="28" t="s">
        <v>124</v>
      </c>
      <c r="H25" s="12"/>
    </row>
    <row r="26">
      <c r="A26" s="6">
        <v>3.4615088959E10</v>
      </c>
      <c r="B26" s="39">
        <v>45699.606944444444</v>
      </c>
      <c r="C26" s="35" t="s">
        <v>10</v>
      </c>
      <c r="D26" s="7" t="s">
        <v>324</v>
      </c>
      <c r="E26" s="27" t="s">
        <v>130</v>
      </c>
      <c r="F26" s="27" t="s">
        <v>130</v>
      </c>
      <c r="G26" s="27" t="s">
        <v>124</v>
      </c>
      <c r="H26" s="7"/>
    </row>
    <row r="27">
      <c r="A27" s="11">
        <v>3.4649408024E10</v>
      </c>
      <c r="B27" s="38">
        <v>45699.6875</v>
      </c>
      <c r="C27" s="37" t="s">
        <v>30</v>
      </c>
      <c r="D27" s="12" t="s">
        <v>325</v>
      </c>
      <c r="E27" s="28" t="s">
        <v>130</v>
      </c>
      <c r="F27" s="28" t="s">
        <v>130</v>
      </c>
      <c r="G27" s="28" t="s">
        <v>124</v>
      </c>
      <c r="H27" s="12"/>
    </row>
    <row r="28">
      <c r="A28" s="6">
        <v>3.4674732292E10</v>
      </c>
      <c r="B28" s="39">
        <v>45699.88333333333</v>
      </c>
      <c r="C28" s="35" t="s">
        <v>30</v>
      </c>
      <c r="D28" s="7" t="s">
        <v>326</v>
      </c>
      <c r="E28" s="27" t="s">
        <v>130</v>
      </c>
      <c r="F28" s="27" t="s">
        <v>130</v>
      </c>
      <c r="G28" s="27" t="s">
        <v>124</v>
      </c>
      <c r="H28" s="7"/>
    </row>
    <row r="29">
      <c r="A29" s="11">
        <v>3.4636715046E10</v>
      </c>
      <c r="B29" s="38">
        <v>45699.925</v>
      </c>
      <c r="C29" s="37" t="s">
        <v>30</v>
      </c>
      <c r="D29" s="12" t="s">
        <v>327</v>
      </c>
      <c r="E29" s="28" t="s">
        <v>130</v>
      </c>
      <c r="F29" s="28" t="s">
        <v>130</v>
      </c>
      <c r="G29" s="28" t="s">
        <v>117</v>
      </c>
      <c r="H29" s="30" t="s">
        <v>328</v>
      </c>
    </row>
    <row r="30">
      <c r="A30" s="6">
        <v>3.06972976878E11</v>
      </c>
      <c r="B30" s="39">
        <v>45699.95347222222</v>
      </c>
      <c r="C30" s="35" t="s">
        <v>30</v>
      </c>
      <c r="D30" s="7" t="s">
        <v>329</v>
      </c>
      <c r="E30" s="27" t="s">
        <v>116</v>
      </c>
      <c r="F30" s="27" t="s">
        <v>116</v>
      </c>
      <c r="G30" s="27" t="s">
        <v>159</v>
      </c>
      <c r="H30" s="40" t="s">
        <v>330</v>
      </c>
    </row>
    <row r="31">
      <c r="A31" s="11">
        <v>3.4630389505E10</v>
      </c>
      <c r="B31" s="38">
        <v>45727.36666666667</v>
      </c>
      <c r="C31" s="37" t="s">
        <v>10</v>
      </c>
      <c r="D31" s="12" t="s">
        <v>331</v>
      </c>
      <c r="E31" s="28" t="s">
        <v>130</v>
      </c>
      <c r="F31" s="28" t="s">
        <v>130</v>
      </c>
      <c r="G31" s="28" t="s">
        <v>124</v>
      </c>
      <c r="H31" s="30"/>
    </row>
    <row r="32">
      <c r="A32" s="6">
        <v>3.4627856526E10</v>
      </c>
      <c r="B32" s="39">
        <v>45727.38125</v>
      </c>
      <c r="C32" s="35" t="s">
        <v>30</v>
      </c>
      <c r="D32" s="7" t="s">
        <v>332</v>
      </c>
      <c r="E32" s="27" t="s">
        <v>130</v>
      </c>
      <c r="F32" s="27" t="s">
        <v>130</v>
      </c>
      <c r="G32" s="27" t="s">
        <v>124</v>
      </c>
      <c r="H32" s="31"/>
    </row>
    <row r="33">
      <c r="A33" s="11">
        <v>3.4627462016E10</v>
      </c>
      <c r="B33" s="38">
        <v>45727.48402777778</v>
      </c>
      <c r="C33" s="37" t="s">
        <v>10</v>
      </c>
      <c r="D33" s="12" t="s">
        <v>333</v>
      </c>
      <c r="E33" s="28" t="s">
        <v>130</v>
      </c>
      <c r="F33" s="28" t="s">
        <v>130</v>
      </c>
      <c r="G33" s="28" t="s">
        <v>124</v>
      </c>
      <c r="H33" s="41"/>
    </row>
    <row r="34">
      <c r="A34" s="6">
        <v>3.4661294776E10</v>
      </c>
      <c r="B34" s="39">
        <v>45727.52291666667</v>
      </c>
      <c r="C34" s="35" t="s">
        <v>10</v>
      </c>
      <c r="D34" s="7" t="s">
        <v>334</v>
      </c>
      <c r="E34" s="27" t="s">
        <v>130</v>
      </c>
      <c r="F34" s="27" t="s">
        <v>130</v>
      </c>
      <c r="G34" s="27" t="s">
        <v>124</v>
      </c>
      <c r="H34" s="31"/>
    </row>
    <row r="35">
      <c r="A35" s="11">
        <v>5.511973081991E12</v>
      </c>
      <c r="B35" s="38">
        <v>45758.36041666667</v>
      </c>
      <c r="C35" s="37" t="s">
        <v>10</v>
      </c>
      <c r="D35" s="12" t="s">
        <v>335</v>
      </c>
      <c r="E35" s="28" t="s">
        <v>130</v>
      </c>
      <c r="F35" s="28" t="s">
        <v>130</v>
      </c>
      <c r="G35" s="28" t="s">
        <v>124</v>
      </c>
      <c r="H35" s="41"/>
    </row>
    <row r="36">
      <c r="A36" s="6">
        <v>3.4676440184E10</v>
      </c>
      <c r="B36" s="39">
        <v>45758.37847222222</v>
      </c>
      <c r="C36" s="35" t="s">
        <v>10</v>
      </c>
      <c r="D36" s="7" t="s">
        <v>336</v>
      </c>
      <c r="E36" s="27" t="s">
        <v>130</v>
      </c>
      <c r="F36" s="27" t="s">
        <v>130</v>
      </c>
      <c r="G36" s="27" t="s">
        <v>124</v>
      </c>
      <c r="H36" s="31"/>
    </row>
    <row r="37">
      <c r="A37" s="11">
        <v>3.4655300788E10</v>
      </c>
      <c r="B37" s="38">
        <v>45788.60555555556</v>
      </c>
      <c r="C37" s="37" t="s">
        <v>10</v>
      </c>
      <c r="D37" s="12" t="s">
        <v>337</v>
      </c>
      <c r="E37" s="28" t="s">
        <v>130</v>
      </c>
      <c r="F37" s="28" t="s">
        <v>130</v>
      </c>
      <c r="G37" s="28" t="s">
        <v>124</v>
      </c>
      <c r="H37" s="41"/>
    </row>
    <row r="38">
      <c r="A38" s="6">
        <v>3.461745077E10</v>
      </c>
      <c r="B38" s="39">
        <v>45788.62986111111</v>
      </c>
      <c r="C38" s="35" t="s">
        <v>10</v>
      </c>
      <c r="D38" s="7" t="s">
        <v>338</v>
      </c>
      <c r="E38" s="27" t="s">
        <v>130</v>
      </c>
      <c r="F38" s="27" t="s">
        <v>130</v>
      </c>
      <c r="G38" s="27" t="s">
        <v>124</v>
      </c>
      <c r="H38" s="31"/>
    </row>
    <row r="39">
      <c r="A39" s="11">
        <v>3.4606735286E10</v>
      </c>
      <c r="B39" s="38">
        <v>45788.72708333333</v>
      </c>
      <c r="C39" s="37" t="s">
        <v>10</v>
      </c>
      <c r="D39" s="12" t="s">
        <v>339</v>
      </c>
      <c r="E39" s="28" t="s">
        <v>130</v>
      </c>
      <c r="F39" s="28" t="s">
        <v>130</v>
      </c>
      <c r="G39" s="28" t="s">
        <v>124</v>
      </c>
      <c r="H39" s="41"/>
    </row>
    <row r="40">
      <c r="A40" s="6">
        <v>3.4695408574E10</v>
      </c>
      <c r="B40" s="39">
        <v>45788.7375</v>
      </c>
      <c r="C40" s="35" t="s">
        <v>10</v>
      </c>
      <c r="D40" s="7" t="s">
        <v>340</v>
      </c>
      <c r="E40" s="27" t="s">
        <v>130</v>
      </c>
      <c r="F40" s="27" t="s">
        <v>130</v>
      </c>
      <c r="G40" s="27" t="s">
        <v>124</v>
      </c>
      <c r="H40" s="31"/>
    </row>
    <row r="41">
      <c r="A41" s="11">
        <v>3.461745077E10</v>
      </c>
      <c r="B41" s="38">
        <v>45819.30138888889</v>
      </c>
      <c r="C41" s="37" t="s">
        <v>10</v>
      </c>
      <c r="D41" s="12" t="s">
        <v>341</v>
      </c>
      <c r="E41" s="28" t="s">
        <v>130</v>
      </c>
      <c r="F41" s="28" t="s">
        <v>130</v>
      </c>
      <c r="G41" s="28" t="s">
        <v>117</v>
      </c>
      <c r="H41" s="30" t="s">
        <v>342</v>
      </c>
    </row>
    <row r="42">
      <c r="A42" s="6">
        <v>3.4662413563E10</v>
      </c>
      <c r="B42" s="39">
        <v>45819.32916666667</v>
      </c>
      <c r="C42" s="35" t="s">
        <v>10</v>
      </c>
      <c r="D42" s="7" t="s">
        <v>343</v>
      </c>
      <c r="E42" s="27" t="s">
        <v>116</v>
      </c>
      <c r="F42" s="27" t="s">
        <v>116</v>
      </c>
      <c r="G42" s="27" t="s">
        <v>117</v>
      </c>
      <c r="H42" s="40"/>
    </row>
    <row r="43">
      <c r="A43" s="11">
        <v>3.4627149889E10</v>
      </c>
      <c r="B43" s="42">
        <v>45819.388194444444</v>
      </c>
      <c r="C43" s="37" t="s">
        <v>30</v>
      </c>
      <c r="D43" s="12" t="s">
        <v>344</v>
      </c>
      <c r="E43" s="28" t="s">
        <v>116</v>
      </c>
      <c r="F43" s="28" t="s">
        <v>116</v>
      </c>
      <c r="G43" s="28" t="s">
        <v>117</v>
      </c>
      <c r="H43" s="41"/>
    </row>
    <row r="44">
      <c r="A44" s="6">
        <v>3.4695408574E10</v>
      </c>
      <c r="B44" s="43">
        <v>45819.50555555556</v>
      </c>
      <c r="C44" s="35" t="s">
        <v>10</v>
      </c>
      <c r="D44" s="7" t="s">
        <v>345</v>
      </c>
      <c r="E44" s="27" t="s">
        <v>130</v>
      </c>
      <c r="F44" s="27" t="s">
        <v>130</v>
      </c>
      <c r="G44" s="27" t="s">
        <v>124</v>
      </c>
      <c r="H44" s="31"/>
    </row>
    <row r="45">
      <c r="A45" s="11">
        <v>3.4617321771E10</v>
      </c>
      <c r="B45" s="42">
        <v>45819.825694444444</v>
      </c>
      <c r="C45" s="37" t="s">
        <v>30</v>
      </c>
      <c r="D45" s="12" t="s">
        <v>346</v>
      </c>
      <c r="E45" s="28" t="s">
        <v>116</v>
      </c>
      <c r="F45" s="28" t="s">
        <v>116</v>
      </c>
      <c r="G45" s="28" t="s">
        <v>124</v>
      </c>
      <c r="H45" s="41"/>
    </row>
    <row r="46">
      <c r="A46" s="6">
        <v>3.4626925945E10</v>
      </c>
      <c r="B46" s="43">
        <v>45849.44097222222</v>
      </c>
      <c r="C46" s="35" t="s">
        <v>30</v>
      </c>
      <c r="D46" s="7" t="s">
        <v>347</v>
      </c>
      <c r="E46" s="27" t="s">
        <v>116</v>
      </c>
      <c r="F46" s="27" t="s">
        <v>116</v>
      </c>
      <c r="G46" s="27" t="s">
        <v>124</v>
      </c>
      <c r="H46" s="31"/>
    </row>
    <row r="47">
      <c r="A47" s="11">
        <v>3.93299770514E11</v>
      </c>
      <c r="B47" s="42">
        <v>45849.634722222225</v>
      </c>
      <c r="C47" s="37" t="s">
        <v>10</v>
      </c>
      <c r="D47" s="12" t="s">
        <v>348</v>
      </c>
      <c r="E47" s="28" t="s">
        <v>130</v>
      </c>
      <c r="F47" s="28" t="s">
        <v>130</v>
      </c>
      <c r="G47" s="28" t="s">
        <v>124</v>
      </c>
      <c r="H47" s="41"/>
    </row>
    <row r="48">
      <c r="A48" s="6">
        <v>3.4620424158E10</v>
      </c>
      <c r="B48" s="43">
        <v>45849.705555555556</v>
      </c>
      <c r="C48" s="35" t="s">
        <v>10</v>
      </c>
      <c r="D48" s="7" t="s">
        <v>349</v>
      </c>
      <c r="E48" s="27" t="s">
        <v>130</v>
      </c>
      <c r="F48" s="27" t="s">
        <v>130</v>
      </c>
      <c r="G48" s="27" t="s">
        <v>159</v>
      </c>
      <c r="H48" s="40" t="s">
        <v>350</v>
      </c>
    </row>
    <row r="49">
      <c r="A49" s="11">
        <v>3.460089339E10</v>
      </c>
      <c r="B49" s="42">
        <v>45880.376388888886</v>
      </c>
      <c r="C49" s="37" t="s">
        <v>30</v>
      </c>
      <c r="D49" s="12" t="s">
        <v>351</v>
      </c>
      <c r="E49" s="28" t="s">
        <v>116</v>
      </c>
      <c r="F49" s="28" t="s">
        <v>116</v>
      </c>
      <c r="G49" s="28" t="s">
        <v>117</v>
      </c>
      <c r="H49" s="41"/>
    </row>
    <row r="50">
      <c r="A50" s="6">
        <v>3.4606464678E10</v>
      </c>
      <c r="B50" s="43">
        <v>45880.393055555556</v>
      </c>
      <c r="C50" s="35" t="s">
        <v>30</v>
      </c>
      <c r="D50" s="7" t="s">
        <v>352</v>
      </c>
      <c r="E50" s="27" t="s">
        <v>116</v>
      </c>
      <c r="F50" s="27" t="s">
        <v>116</v>
      </c>
      <c r="G50" s="27" t="s">
        <v>117</v>
      </c>
      <c r="H50" s="31"/>
    </row>
    <row r="51">
      <c r="A51" s="11">
        <v>3.4697808048E10</v>
      </c>
      <c r="B51" s="42">
        <v>45880.433333333334</v>
      </c>
      <c r="C51" s="37" t="s">
        <v>10</v>
      </c>
      <c r="D51" s="12" t="s">
        <v>353</v>
      </c>
      <c r="E51" s="28" t="s">
        <v>130</v>
      </c>
      <c r="F51" s="28" t="s">
        <v>130</v>
      </c>
      <c r="G51" s="28" t="s">
        <v>124</v>
      </c>
      <c r="H51" s="41"/>
    </row>
    <row r="52">
      <c r="A52" s="6">
        <v>3.4684381057E10</v>
      </c>
      <c r="B52" s="7"/>
      <c r="C52" s="35" t="s">
        <v>10</v>
      </c>
      <c r="D52" s="7" t="s">
        <v>354</v>
      </c>
      <c r="E52" s="27" t="s">
        <v>130</v>
      </c>
      <c r="F52" s="27" t="s">
        <v>130</v>
      </c>
      <c r="G52" s="27" t="s">
        <v>159</v>
      </c>
      <c r="H52" s="40" t="s">
        <v>355</v>
      </c>
    </row>
    <row r="53">
      <c r="A53" s="11">
        <v>3.460923004E10</v>
      </c>
      <c r="B53" s="42">
        <v>45880.4625</v>
      </c>
      <c r="C53" s="37" t="s">
        <v>10</v>
      </c>
      <c r="D53" s="12" t="s">
        <v>356</v>
      </c>
      <c r="E53" s="28" t="s">
        <v>130</v>
      </c>
      <c r="F53" s="28" t="s">
        <v>130</v>
      </c>
      <c r="G53" s="28" t="s">
        <v>124</v>
      </c>
      <c r="H53" s="41"/>
    </row>
    <row r="54">
      <c r="A54" s="6">
        <v>3.4600399895E10</v>
      </c>
      <c r="B54" s="43">
        <v>45880.489583333336</v>
      </c>
      <c r="C54" s="35" t="s">
        <v>30</v>
      </c>
      <c r="D54" s="7" t="s">
        <v>357</v>
      </c>
      <c r="E54" s="27" t="s">
        <v>130</v>
      </c>
      <c r="F54" s="27" t="s">
        <v>130</v>
      </c>
      <c r="G54" s="27" t="s">
        <v>124</v>
      </c>
      <c r="H54" s="31"/>
    </row>
    <row r="55">
      <c r="A55" s="11">
        <v>3.4620424158E10</v>
      </c>
      <c r="B55" s="42">
        <v>45880.49513888889</v>
      </c>
      <c r="C55" s="37" t="s">
        <v>10</v>
      </c>
      <c r="D55" s="12" t="s">
        <v>358</v>
      </c>
      <c r="E55" s="28" t="s">
        <v>130</v>
      </c>
      <c r="F55" s="28" t="s">
        <v>130</v>
      </c>
      <c r="G55" s="28" t="s">
        <v>124</v>
      </c>
      <c r="H55" s="41"/>
    </row>
    <row r="56">
      <c r="A56" s="6">
        <v>3.468242938E10</v>
      </c>
      <c r="B56" s="43">
        <v>45880.49652777778</v>
      </c>
      <c r="C56" s="35" t="s">
        <v>30</v>
      </c>
      <c r="D56" s="7" t="s">
        <v>359</v>
      </c>
      <c r="E56" s="27" t="s">
        <v>116</v>
      </c>
      <c r="F56" s="27" t="s">
        <v>116</v>
      </c>
      <c r="G56" s="27" t="s">
        <v>124</v>
      </c>
      <c r="H56" s="31"/>
    </row>
    <row r="57">
      <c r="A57" s="11">
        <v>3.4615373877E10</v>
      </c>
      <c r="B57" s="42">
        <v>45880.5</v>
      </c>
      <c r="C57" s="37" t="s">
        <v>30</v>
      </c>
      <c r="D57" s="12" t="s">
        <v>360</v>
      </c>
      <c r="E57" s="28" t="s">
        <v>130</v>
      </c>
      <c r="F57" s="28" t="s">
        <v>130</v>
      </c>
      <c r="G57" s="28" t="s">
        <v>117</v>
      </c>
      <c r="H57" s="41"/>
    </row>
    <row r="58">
      <c r="A58" s="6">
        <v>3.4697808048E10</v>
      </c>
      <c r="B58" s="43">
        <v>45880.521527777775</v>
      </c>
      <c r="C58" s="35" t="s">
        <v>10</v>
      </c>
      <c r="D58" s="7" t="s">
        <v>361</v>
      </c>
      <c r="E58" s="27" t="s">
        <v>130</v>
      </c>
      <c r="F58" s="27" t="s">
        <v>130</v>
      </c>
      <c r="G58" s="27" t="s">
        <v>124</v>
      </c>
      <c r="H58" s="31"/>
    </row>
    <row r="59">
      <c r="A59" s="11">
        <v>3.93457164715E11</v>
      </c>
      <c r="B59" s="42">
        <v>45880.53333333333</v>
      </c>
      <c r="C59" s="37" t="s">
        <v>30</v>
      </c>
      <c r="D59" s="12" t="s">
        <v>362</v>
      </c>
      <c r="E59" s="28" t="s">
        <v>130</v>
      </c>
      <c r="F59" s="28" t="s">
        <v>130</v>
      </c>
      <c r="G59" s="28" t="s">
        <v>124</v>
      </c>
      <c r="H59" s="41"/>
    </row>
    <row r="60">
      <c r="A60" s="44">
        <v>3.4658390164E10</v>
      </c>
      <c r="B60" s="45">
        <v>45880.54236111111</v>
      </c>
      <c r="C60" s="35" t="s">
        <v>30</v>
      </c>
      <c r="D60" s="7" t="s">
        <v>363</v>
      </c>
      <c r="E60" s="27" t="s">
        <v>116</v>
      </c>
      <c r="F60" s="27" t="s">
        <v>116</v>
      </c>
      <c r="G60" s="27" t="s">
        <v>117</v>
      </c>
      <c r="H60" s="31"/>
    </row>
    <row r="61">
      <c r="A61" s="46">
        <v>3.4618976932E10</v>
      </c>
      <c r="B61" s="47">
        <v>45880.56875</v>
      </c>
      <c r="C61" s="37" t="s">
        <v>30</v>
      </c>
      <c r="D61" s="12" t="s">
        <v>364</v>
      </c>
      <c r="E61" s="28" t="s">
        <v>130</v>
      </c>
      <c r="F61" s="28" t="s">
        <v>130</v>
      </c>
      <c r="G61" s="28" t="s">
        <v>124</v>
      </c>
      <c r="H61" s="41"/>
    </row>
    <row r="62">
      <c r="A62" s="44">
        <v>3.4628899986E10</v>
      </c>
      <c r="B62" s="45">
        <v>45880.59305555555</v>
      </c>
      <c r="C62" s="35" t="s">
        <v>30</v>
      </c>
      <c r="D62" s="7" t="s">
        <v>365</v>
      </c>
      <c r="E62" s="27" t="s">
        <v>130</v>
      </c>
      <c r="F62" s="27" t="s">
        <v>130</v>
      </c>
      <c r="G62" s="27" t="s">
        <v>124</v>
      </c>
      <c r="H62" s="31"/>
    </row>
    <row r="63">
      <c r="A63" s="46">
        <v>3.467751515E10</v>
      </c>
      <c r="B63" s="47">
        <v>45880.59444444445</v>
      </c>
      <c r="C63" s="37" t="s">
        <v>30</v>
      </c>
      <c r="D63" s="12" t="s">
        <v>366</v>
      </c>
      <c r="E63" s="28" t="s">
        <v>116</v>
      </c>
      <c r="F63" s="28" t="s">
        <v>116</v>
      </c>
      <c r="G63" s="28" t="s">
        <v>159</v>
      </c>
      <c r="H63" s="30" t="s">
        <v>367</v>
      </c>
    </row>
    <row r="64">
      <c r="A64" s="44">
        <v>3.4697808048E10</v>
      </c>
      <c r="B64" s="45">
        <v>45880.66180555556</v>
      </c>
      <c r="C64" s="35" t="s">
        <v>30</v>
      </c>
      <c r="D64" s="7" t="s">
        <v>368</v>
      </c>
      <c r="E64" s="27" t="s">
        <v>116</v>
      </c>
      <c r="F64" s="27" t="s">
        <v>116</v>
      </c>
      <c r="G64" s="27" t="s">
        <v>124</v>
      </c>
      <c r="H64" s="31"/>
    </row>
    <row r="65">
      <c r="A65" s="46">
        <v>3.4618976932E10</v>
      </c>
      <c r="B65" s="47">
        <v>45880.67152777778</v>
      </c>
      <c r="C65" s="37" t="s">
        <v>30</v>
      </c>
      <c r="D65" s="12" t="s">
        <v>369</v>
      </c>
      <c r="E65" s="28" t="s">
        <v>116</v>
      </c>
      <c r="F65" s="28" t="s">
        <v>116</v>
      </c>
      <c r="G65" s="28" t="s">
        <v>124</v>
      </c>
      <c r="H65" s="41"/>
    </row>
    <row r="66">
      <c r="A66" s="44">
        <v>4.91757157375E11</v>
      </c>
      <c r="B66" s="45">
        <v>45880.674305555556</v>
      </c>
      <c r="C66" s="35" t="s">
        <v>10</v>
      </c>
      <c r="D66" s="7" t="s">
        <v>370</v>
      </c>
      <c r="E66" s="27" t="s">
        <v>130</v>
      </c>
      <c r="F66" s="27" t="s">
        <v>130</v>
      </c>
      <c r="G66" s="27" t="s">
        <v>124</v>
      </c>
      <c r="H66" s="40" t="s">
        <v>371</v>
      </c>
    </row>
    <row r="67">
      <c r="A67" s="46">
        <v>3.937031041E11</v>
      </c>
      <c r="B67" s="47">
        <v>45880.78472222222</v>
      </c>
      <c r="C67" s="37" t="s">
        <v>30</v>
      </c>
      <c r="D67" s="12" t="s">
        <v>372</v>
      </c>
      <c r="E67" s="28" t="s">
        <v>130</v>
      </c>
      <c r="F67" s="28" t="s">
        <v>130</v>
      </c>
      <c r="G67" s="28" t="s">
        <v>124</v>
      </c>
      <c r="H67" s="41"/>
    </row>
    <row r="68">
      <c r="A68" s="44">
        <v>3.4697808048E10</v>
      </c>
      <c r="B68" s="45">
        <v>45880.82638888889</v>
      </c>
      <c r="C68" s="35" t="s">
        <v>30</v>
      </c>
      <c r="D68" s="7" t="s">
        <v>373</v>
      </c>
      <c r="E68" s="27" t="s">
        <v>116</v>
      </c>
      <c r="F68" s="27" t="s">
        <v>116</v>
      </c>
      <c r="G68" s="27" t="s">
        <v>124</v>
      </c>
      <c r="H68" s="31"/>
    </row>
    <row r="69">
      <c r="A69" s="46">
        <v>3.4615373877E10</v>
      </c>
      <c r="B69" s="47">
        <v>45880.893055555556</v>
      </c>
      <c r="C69" s="37" t="s">
        <v>10</v>
      </c>
      <c r="D69" s="12" t="s">
        <v>374</v>
      </c>
      <c r="E69" s="28" t="s">
        <v>130</v>
      </c>
      <c r="F69" s="28" t="s">
        <v>130</v>
      </c>
      <c r="G69" s="28" t="s">
        <v>124</v>
      </c>
      <c r="H69" s="41"/>
    </row>
    <row r="70">
      <c r="A70" s="44">
        <v>3.93922081865E11</v>
      </c>
      <c r="B70" s="45">
        <v>45880.927083333336</v>
      </c>
      <c r="C70" s="35" t="s">
        <v>30</v>
      </c>
      <c r="D70" s="7" t="s">
        <v>375</v>
      </c>
      <c r="E70" s="27" t="s">
        <v>116</v>
      </c>
      <c r="F70" s="27" t="s">
        <v>116</v>
      </c>
      <c r="G70" s="27" t="s">
        <v>124</v>
      </c>
      <c r="H70" s="31"/>
    </row>
    <row r="71">
      <c r="A71" s="46">
        <v>3.4616397458E10</v>
      </c>
      <c r="B71" s="47">
        <v>45880.94930555556</v>
      </c>
      <c r="C71" s="37" t="s">
        <v>30</v>
      </c>
      <c r="D71" s="12" t="s">
        <v>376</v>
      </c>
      <c r="E71" s="28" t="s">
        <v>116</v>
      </c>
      <c r="F71" s="28" t="s">
        <v>116</v>
      </c>
      <c r="G71" s="28" t="s">
        <v>124</v>
      </c>
      <c r="H71" s="41"/>
    </row>
    <row r="72">
      <c r="A72" s="44">
        <v>3.4697808048E10</v>
      </c>
      <c r="B72" s="45">
        <v>45880.97083333333</v>
      </c>
      <c r="C72" s="35" t="s">
        <v>10</v>
      </c>
      <c r="D72" s="7" t="s">
        <v>377</v>
      </c>
      <c r="E72" s="27" t="s">
        <v>130</v>
      </c>
      <c r="F72" s="27" t="s">
        <v>130</v>
      </c>
      <c r="G72" s="27" t="s">
        <v>124</v>
      </c>
      <c r="H72" s="31"/>
    </row>
    <row r="73">
      <c r="A73" s="46">
        <v>3.93761684644E11</v>
      </c>
      <c r="B73" s="47">
        <v>45911.03055555555</v>
      </c>
      <c r="C73" s="37" t="s">
        <v>10</v>
      </c>
      <c r="D73" s="12" t="s">
        <v>378</v>
      </c>
      <c r="E73" s="28" t="s">
        <v>130</v>
      </c>
      <c r="F73" s="28" t="s">
        <v>130</v>
      </c>
      <c r="G73" s="28" t="s">
        <v>159</v>
      </c>
      <c r="H73" s="30" t="s">
        <v>379</v>
      </c>
    </row>
    <row r="74">
      <c r="A74" s="44">
        <v>3.4610399932E10</v>
      </c>
      <c r="B74" s="45">
        <v>45911.29861111111</v>
      </c>
      <c r="C74" s="35" t="s">
        <v>30</v>
      </c>
      <c r="D74" s="7" t="s">
        <v>380</v>
      </c>
      <c r="E74" s="27" t="s">
        <v>116</v>
      </c>
      <c r="F74" s="27" t="s">
        <v>116</v>
      </c>
      <c r="G74" s="27" t="s">
        <v>124</v>
      </c>
      <c r="H74" s="31"/>
    </row>
    <row r="75">
      <c r="A75" s="46">
        <v>3.4691253437E10</v>
      </c>
      <c r="B75" s="47">
        <v>45911.43402777778</v>
      </c>
      <c r="C75" s="37" t="s">
        <v>10</v>
      </c>
      <c r="D75" s="12" t="s">
        <v>381</v>
      </c>
      <c r="E75" s="28" t="s">
        <v>130</v>
      </c>
      <c r="F75" s="28" t="s">
        <v>130</v>
      </c>
      <c r="G75" s="28" t="s">
        <v>124</v>
      </c>
      <c r="H75" s="41"/>
    </row>
    <row r="76">
      <c r="A76" s="44">
        <v>3.4625409563E10</v>
      </c>
      <c r="B76" s="45">
        <v>45911.48541666667</v>
      </c>
      <c r="C76" s="35" t="s">
        <v>30</v>
      </c>
      <c r="D76" s="7" t="s">
        <v>382</v>
      </c>
      <c r="E76" s="27" t="s">
        <v>130</v>
      </c>
      <c r="F76" s="27" t="s">
        <v>130</v>
      </c>
      <c r="G76" s="27" t="s">
        <v>124</v>
      </c>
      <c r="H76" s="31"/>
    </row>
    <row r="77">
      <c r="A77" s="46">
        <v>3.4623581698E10</v>
      </c>
      <c r="B77" s="48">
        <v>45941.04861111111</v>
      </c>
      <c r="C77" s="37" t="s">
        <v>10</v>
      </c>
      <c r="D77" s="12" t="s">
        <v>383</v>
      </c>
      <c r="E77" s="28" t="s">
        <v>116</v>
      </c>
      <c r="F77" s="28" t="s">
        <v>130</v>
      </c>
      <c r="G77" s="28" t="s">
        <v>117</v>
      </c>
      <c r="H77" s="30" t="s">
        <v>384</v>
      </c>
    </row>
    <row r="78">
      <c r="A78" s="44">
        <v>3.4606142867E10</v>
      </c>
      <c r="B78" s="49">
        <v>45941.36875</v>
      </c>
      <c r="C78" s="35" t="s">
        <v>30</v>
      </c>
      <c r="D78" s="7" t="s">
        <v>385</v>
      </c>
      <c r="E78" s="27" t="s">
        <v>116</v>
      </c>
      <c r="F78" s="27" t="s">
        <v>116</v>
      </c>
      <c r="G78" s="27" t="s">
        <v>124</v>
      </c>
      <c r="H78" s="31"/>
    </row>
    <row r="79">
      <c r="A79" s="46">
        <v>3.4648259923E10</v>
      </c>
      <c r="B79" s="48">
        <v>45941.47430555556</v>
      </c>
      <c r="C79" s="37" t="s">
        <v>30</v>
      </c>
      <c r="D79" s="12" t="s">
        <v>386</v>
      </c>
      <c r="E79" s="28" t="s">
        <v>116</v>
      </c>
      <c r="F79" s="28" t="s">
        <v>116</v>
      </c>
      <c r="G79" s="28" t="s">
        <v>124</v>
      </c>
      <c r="H79" s="41"/>
    </row>
    <row r="80">
      <c r="A80" s="44">
        <v>3.4644236213E10</v>
      </c>
      <c r="B80" s="49">
        <v>45941.63125</v>
      </c>
      <c r="C80" s="35" t="s">
        <v>30</v>
      </c>
      <c r="D80" s="7" t="s">
        <v>387</v>
      </c>
      <c r="E80" s="27" t="s">
        <v>116</v>
      </c>
      <c r="F80" s="27" t="s">
        <v>116</v>
      </c>
      <c r="G80" s="27" t="s">
        <v>124</v>
      </c>
      <c r="H80" s="31"/>
    </row>
    <row r="81">
      <c r="A81" s="46">
        <v>3.460892848E10</v>
      </c>
      <c r="B81" s="48">
        <v>45941.81527777778</v>
      </c>
      <c r="C81" s="37" t="s">
        <v>10</v>
      </c>
      <c r="D81" s="12" t="s">
        <v>388</v>
      </c>
      <c r="E81" s="28" t="s">
        <v>130</v>
      </c>
      <c r="F81" s="28" t="s">
        <v>130</v>
      </c>
      <c r="G81" s="28" t="s">
        <v>124</v>
      </c>
      <c r="H81" s="41"/>
    </row>
    <row r="82">
      <c r="A82" s="44">
        <v>3.46468788E10</v>
      </c>
      <c r="B82" s="49">
        <v>45972.35972222222</v>
      </c>
      <c r="C82" s="35" t="s">
        <v>10</v>
      </c>
      <c r="D82" s="7" t="s">
        <v>389</v>
      </c>
      <c r="E82" s="27" t="s">
        <v>130</v>
      </c>
      <c r="F82" s="27" t="s">
        <v>130</v>
      </c>
      <c r="G82" s="27" t="s">
        <v>124</v>
      </c>
      <c r="H82" s="31"/>
    </row>
    <row r="83">
      <c r="A83" s="46">
        <v>3.4625674433E10</v>
      </c>
      <c r="B83" s="48">
        <v>45972.35972222222</v>
      </c>
      <c r="C83" s="37" t="s">
        <v>10</v>
      </c>
      <c r="D83" s="12" t="s">
        <v>390</v>
      </c>
      <c r="E83" s="28" t="s">
        <v>130</v>
      </c>
      <c r="F83" s="28" t="s">
        <v>130</v>
      </c>
      <c r="G83" s="28" t="s">
        <v>117</v>
      </c>
      <c r="H83" s="41"/>
    </row>
    <row r="84">
      <c r="A84" s="44">
        <v>3.4679727036E10</v>
      </c>
      <c r="B84" s="49">
        <v>45972.45694444444</v>
      </c>
      <c r="C84" s="35" t="s">
        <v>30</v>
      </c>
      <c r="D84" s="7" t="s">
        <v>391</v>
      </c>
      <c r="E84" s="27" t="s">
        <v>116</v>
      </c>
      <c r="F84" s="27" t="s">
        <v>116</v>
      </c>
      <c r="G84" s="27" t="s">
        <v>124</v>
      </c>
      <c r="H84" s="31"/>
    </row>
    <row r="85">
      <c r="A85" s="46">
        <v>4.91622827523E11</v>
      </c>
      <c r="B85" s="48">
        <v>45972.47083333333</v>
      </c>
      <c r="C85" s="37" t="s">
        <v>10</v>
      </c>
      <c r="D85" s="12" t="s">
        <v>392</v>
      </c>
      <c r="E85" s="28" t="s">
        <v>130</v>
      </c>
      <c r="F85" s="28" t="s">
        <v>130</v>
      </c>
      <c r="G85" s="28" t="s">
        <v>124</v>
      </c>
      <c r="H85" s="41"/>
    </row>
    <row r="86">
      <c r="A86" s="44">
        <v>3.80506153317E11</v>
      </c>
      <c r="B86" s="49">
        <v>45972.48541666667</v>
      </c>
      <c r="C86" s="35" t="s">
        <v>30</v>
      </c>
      <c r="D86" s="7" t="s">
        <v>393</v>
      </c>
      <c r="E86" s="27" t="s">
        <v>130</v>
      </c>
      <c r="F86" s="27" t="s">
        <v>130</v>
      </c>
      <c r="G86" s="27" t="s">
        <v>124</v>
      </c>
      <c r="H86" s="31"/>
    </row>
    <row r="87">
      <c r="A87" s="46">
        <v>3.4689448263E10</v>
      </c>
      <c r="B87" s="48">
        <v>45972.73263888889</v>
      </c>
      <c r="C87" s="37" t="s">
        <v>30</v>
      </c>
      <c r="D87" s="12" t="s">
        <v>394</v>
      </c>
      <c r="E87" s="28" t="s">
        <v>130</v>
      </c>
      <c r="F87" s="28" t="s">
        <v>130</v>
      </c>
      <c r="G87" s="28" t="s">
        <v>124</v>
      </c>
      <c r="H87" s="41"/>
    </row>
    <row r="88">
      <c r="A88" s="44">
        <v>3.4690047278E10</v>
      </c>
      <c r="B88" s="49">
        <v>45972.83541666667</v>
      </c>
      <c r="C88" s="35" t="s">
        <v>30</v>
      </c>
      <c r="D88" s="7" t="s">
        <v>395</v>
      </c>
      <c r="E88" s="27" t="s">
        <v>116</v>
      </c>
      <c r="F88" s="27" t="s">
        <v>116</v>
      </c>
      <c r="G88" s="27" t="s">
        <v>124</v>
      </c>
      <c r="H88" s="31"/>
    </row>
    <row r="89">
      <c r="A89" s="46">
        <v>3.4660104759E10</v>
      </c>
      <c r="B89" s="48">
        <v>46002.35</v>
      </c>
      <c r="C89" s="37" t="s">
        <v>30</v>
      </c>
      <c r="D89" s="12" t="s">
        <v>396</v>
      </c>
      <c r="E89" s="28" t="s">
        <v>116</v>
      </c>
      <c r="F89" s="28" t="s">
        <v>116</v>
      </c>
      <c r="G89" s="28" t="s">
        <v>159</v>
      </c>
      <c r="H89" s="30" t="s">
        <v>397</v>
      </c>
    </row>
    <row r="90">
      <c r="A90" s="44">
        <v>3.4667784449E10</v>
      </c>
      <c r="B90" s="49">
        <v>46002.353472222225</v>
      </c>
      <c r="C90" s="35" t="s">
        <v>30</v>
      </c>
      <c r="D90" s="7" t="s">
        <v>398</v>
      </c>
      <c r="E90" s="27" t="s">
        <v>130</v>
      </c>
      <c r="F90" s="27" t="s">
        <v>130</v>
      </c>
      <c r="G90" s="27" t="s">
        <v>124</v>
      </c>
      <c r="H90" s="31"/>
    </row>
    <row r="91">
      <c r="A91" s="46">
        <v>3.4687375463E10</v>
      </c>
      <c r="B91" s="48">
        <v>46002.6875</v>
      </c>
      <c r="C91" s="37" t="s">
        <v>10</v>
      </c>
      <c r="D91" s="12" t="s">
        <v>399</v>
      </c>
      <c r="E91" s="28" t="s">
        <v>116</v>
      </c>
      <c r="F91" s="28" t="s">
        <v>116</v>
      </c>
      <c r="G91" s="28" t="s">
        <v>159</v>
      </c>
      <c r="H91" s="30" t="s">
        <v>400</v>
      </c>
    </row>
    <row r="92">
      <c r="A92" s="6"/>
      <c r="B92" s="7"/>
      <c r="C92" s="35"/>
      <c r="D92" s="50"/>
      <c r="E92" s="31"/>
      <c r="F92" s="31"/>
      <c r="G92" s="31"/>
      <c r="H92" s="31"/>
    </row>
    <row r="93">
      <c r="A93" s="11"/>
      <c r="B93" s="12"/>
      <c r="C93" s="37"/>
      <c r="D93" s="51"/>
      <c r="E93" s="41"/>
      <c r="F93" s="41"/>
      <c r="G93" s="41"/>
      <c r="H93" s="41"/>
    </row>
    <row r="94">
      <c r="A94" s="6"/>
      <c r="B94" s="7"/>
      <c r="C94" s="35"/>
      <c r="D94" s="50"/>
      <c r="E94" s="31"/>
      <c r="F94" s="31"/>
      <c r="G94" s="31"/>
      <c r="H94" s="31"/>
    </row>
    <row r="95">
      <c r="A95" s="11"/>
      <c r="B95" s="12"/>
      <c r="C95" s="37"/>
      <c r="D95" s="51"/>
      <c r="E95" s="41"/>
      <c r="F95" s="41"/>
      <c r="G95" s="41"/>
      <c r="H95" s="41"/>
    </row>
    <row r="96">
      <c r="A96" s="6"/>
      <c r="B96" s="7"/>
      <c r="C96" s="35"/>
      <c r="D96" s="50"/>
      <c r="E96" s="31"/>
      <c r="F96" s="31"/>
      <c r="G96" s="31"/>
      <c r="H96" s="31"/>
    </row>
    <row r="97">
      <c r="A97" s="11"/>
      <c r="B97" s="12"/>
      <c r="C97" s="37"/>
      <c r="D97" s="51"/>
      <c r="E97" s="41"/>
      <c r="F97" s="41"/>
      <c r="G97" s="41"/>
      <c r="H97" s="41"/>
    </row>
    <row r="98">
      <c r="A98" s="6"/>
      <c r="B98" s="7"/>
      <c r="C98" s="35"/>
      <c r="D98" s="50"/>
      <c r="E98" s="31"/>
      <c r="F98" s="31"/>
      <c r="G98" s="31"/>
      <c r="H98" s="31"/>
    </row>
    <row r="99">
      <c r="A99" s="11"/>
      <c r="B99" s="12"/>
      <c r="C99" s="37"/>
      <c r="D99" s="51"/>
      <c r="E99" s="41"/>
      <c r="F99" s="41"/>
      <c r="G99" s="41"/>
      <c r="H99" s="41"/>
    </row>
    <row r="100">
      <c r="A100" s="6"/>
      <c r="B100" s="7"/>
      <c r="C100" s="35"/>
      <c r="D100" s="50"/>
      <c r="E100" s="31"/>
      <c r="F100" s="31"/>
      <c r="G100" s="31"/>
      <c r="H100" s="31"/>
    </row>
    <row r="101">
      <c r="A101" s="11"/>
      <c r="B101" s="12"/>
      <c r="C101" s="37"/>
      <c r="D101" s="51"/>
      <c r="E101" s="41"/>
      <c r="F101" s="41"/>
      <c r="G101" s="41"/>
      <c r="H101" s="41"/>
    </row>
    <row r="102">
      <c r="A102" s="6"/>
      <c r="B102" s="7"/>
      <c r="C102" s="35"/>
      <c r="D102" s="50"/>
      <c r="E102" s="31"/>
      <c r="F102" s="31"/>
      <c r="G102" s="31"/>
      <c r="H102" s="31"/>
    </row>
    <row r="103">
      <c r="A103" s="11"/>
      <c r="B103" s="12"/>
      <c r="C103" s="37"/>
      <c r="D103" s="51"/>
      <c r="E103" s="41"/>
      <c r="F103" s="41"/>
      <c r="G103" s="41"/>
      <c r="H103" s="41"/>
    </row>
    <row r="104">
      <c r="A104" s="6"/>
      <c r="B104" s="7"/>
      <c r="C104" s="35"/>
      <c r="D104" s="50"/>
      <c r="E104" s="31"/>
      <c r="F104" s="31"/>
      <c r="G104" s="31"/>
      <c r="H104" s="31"/>
    </row>
    <row r="105">
      <c r="A105" s="11"/>
      <c r="B105" s="12"/>
      <c r="C105" s="37"/>
      <c r="D105" s="51"/>
      <c r="E105" s="41"/>
      <c r="F105" s="41"/>
      <c r="G105" s="41"/>
      <c r="H105" s="41"/>
    </row>
    <row r="106">
      <c r="A106" s="6"/>
      <c r="B106" s="7"/>
      <c r="C106" s="35"/>
      <c r="D106" s="50"/>
      <c r="E106" s="31"/>
      <c r="F106" s="31"/>
      <c r="G106" s="31"/>
      <c r="H106" s="31"/>
    </row>
    <row r="107">
      <c r="A107" s="11"/>
      <c r="B107" s="12"/>
      <c r="C107" s="37"/>
      <c r="D107" s="51"/>
      <c r="E107" s="41"/>
      <c r="F107" s="41"/>
      <c r="G107" s="41"/>
      <c r="H107" s="41"/>
    </row>
    <row r="108">
      <c r="A108" s="6"/>
      <c r="B108" s="7"/>
      <c r="C108" s="35"/>
      <c r="D108" s="50"/>
      <c r="E108" s="31"/>
      <c r="F108" s="31"/>
      <c r="G108" s="31"/>
      <c r="H108" s="31"/>
    </row>
    <row r="109">
      <c r="A109" s="11"/>
      <c r="B109" s="12"/>
      <c r="C109" s="37"/>
      <c r="D109" s="51"/>
      <c r="E109" s="41"/>
      <c r="F109" s="41"/>
      <c r="G109" s="41"/>
      <c r="H109" s="41"/>
    </row>
    <row r="110">
      <c r="A110" s="6"/>
      <c r="B110" s="7"/>
      <c r="C110" s="35"/>
      <c r="D110" s="50"/>
      <c r="E110" s="31"/>
      <c r="F110" s="31"/>
      <c r="G110" s="31"/>
      <c r="H110" s="31"/>
    </row>
    <row r="111">
      <c r="A111" s="11"/>
      <c r="B111" s="12"/>
      <c r="C111" s="37"/>
      <c r="D111" s="51"/>
      <c r="E111" s="41"/>
      <c r="F111" s="41"/>
      <c r="G111" s="41"/>
      <c r="H111" s="41"/>
    </row>
    <row r="112">
      <c r="A112" s="6"/>
      <c r="B112" s="7"/>
      <c r="C112" s="35"/>
      <c r="D112" s="50"/>
      <c r="E112" s="31"/>
      <c r="F112" s="31"/>
      <c r="G112" s="31"/>
      <c r="H112" s="31"/>
    </row>
    <row r="113">
      <c r="A113" s="11"/>
      <c r="B113" s="12"/>
      <c r="C113" s="37"/>
      <c r="D113" s="51"/>
      <c r="E113" s="41"/>
      <c r="F113" s="41"/>
      <c r="G113" s="41"/>
      <c r="H113" s="41"/>
    </row>
    <row r="114">
      <c r="A114" s="6"/>
      <c r="B114" s="7"/>
      <c r="C114" s="35"/>
      <c r="D114" s="50"/>
      <c r="E114" s="31"/>
      <c r="F114" s="31"/>
      <c r="G114" s="31"/>
      <c r="H114" s="31"/>
    </row>
    <row r="115">
      <c r="A115" s="11"/>
      <c r="B115" s="12"/>
      <c r="C115" s="37"/>
      <c r="D115" s="51"/>
      <c r="E115" s="41"/>
      <c r="F115" s="41"/>
      <c r="G115" s="41"/>
      <c r="H115" s="41"/>
    </row>
    <row r="116">
      <c r="A116" s="6"/>
      <c r="B116" s="7"/>
      <c r="C116" s="35"/>
      <c r="D116" s="50"/>
      <c r="E116" s="31"/>
      <c r="F116" s="31"/>
      <c r="G116" s="31"/>
      <c r="H116" s="31"/>
    </row>
    <row r="117">
      <c r="A117" s="11"/>
      <c r="B117" s="12"/>
      <c r="C117" s="37"/>
      <c r="D117" s="51"/>
      <c r="E117" s="41"/>
      <c r="F117" s="41"/>
      <c r="G117" s="41"/>
      <c r="H117" s="41"/>
    </row>
    <row r="118">
      <c r="A118" s="6"/>
      <c r="B118" s="7"/>
      <c r="C118" s="35"/>
      <c r="D118" s="50"/>
      <c r="E118" s="31"/>
      <c r="F118" s="31"/>
      <c r="G118" s="31"/>
      <c r="H118" s="31"/>
    </row>
    <row r="119">
      <c r="A119" s="11"/>
      <c r="B119" s="12"/>
      <c r="C119" s="37"/>
      <c r="D119" s="51"/>
      <c r="E119" s="41"/>
      <c r="F119" s="41"/>
      <c r="G119" s="41"/>
      <c r="H119" s="41"/>
    </row>
    <row r="120">
      <c r="A120" s="6"/>
      <c r="B120" s="7"/>
      <c r="C120" s="35"/>
      <c r="D120" s="50"/>
      <c r="E120" s="31"/>
      <c r="F120" s="31"/>
      <c r="G120" s="31"/>
      <c r="H120" s="31"/>
    </row>
    <row r="121">
      <c r="A121" s="11"/>
      <c r="B121" s="12"/>
      <c r="C121" s="37"/>
      <c r="D121" s="51"/>
      <c r="E121" s="41"/>
      <c r="F121" s="41"/>
      <c r="G121" s="41"/>
      <c r="H121" s="41"/>
    </row>
    <row r="122">
      <c r="A122" s="6"/>
      <c r="B122" s="7"/>
      <c r="C122" s="35"/>
      <c r="D122" s="50"/>
      <c r="E122" s="31"/>
      <c r="F122" s="31"/>
      <c r="G122" s="31"/>
      <c r="H122" s="31"/>
    </row>
    <row r="123">
      <c r="A123" s="11"/>
      <c r="B123" s="12"/>
      <c r="C123" s="37"/>
      <c r="D123" s="51"/>
      <c r="E123" s="41"/>
      <c r="F123" s="41"/>
      <c r="G123" s="41"/>
      <c r="H123" s="41"/>
    </row>
    <row r="124">
      <c r="A124" s="6"/>
      <c r="B124" s="7"/>
      <c r="C124" s="35"/>
      <c r="D124" s="50"/>
      <c r="E124" s="31"/>
      <c r="F124" s="31"/>
      <c r="G124" s="31"/>
      <c r="H124" s="31"/>
    </row>
    <row r="125">
      <c r="A125" s="11"/>
      <c r="B125" s="12"/>
      <c r="C125" s="37"/>
      <c r="D125" s="51"/>
      <c r="E125" s="41"/>
      <c r="F125" s="41"/>
      <c r="G125" s="41"/>
      <c r="H125" s="41"/>
    </row>
    <row r="126">
      <c r="A126" s="6"/>
      <c r="B126" s="7"/>
      <c r="C126" s="35"/>
      <c r="D126" s="50"/>
      <c r="E126" s="31"/>
      <c r="F126" s="31"/>
      <c r="G126" s="31"/>
      <c r="H126" s="31"/>
    </row>
    <row r="127">
      <c r="A127" s="11"/>
      <c r="B127" s="12"/>
      <c r="C127" s="37"/>
      <c r="D127" s="51"/>
      <c r="E127" s="41"/>
      <c r="F127" s="41"/>
      <c r="G127" s="41"/>
      <c r="H127" s="41"/>
    </row>
    <row r="128">
      <c r="A128" s="6"/>
      <c r="B128" s="7"/>
      <c r="C128" s="35"/>
      <c r="D128" s="50"/>
      <c r="E128" s="31"/>
      <c r="F128" s="31"/>
      <c r="G128" s="31"/>
      <c r="H128" s="31"/>
    </row>
    <row r="129">
      <c r="A129" s="11"/>
      <c r="B129" s="12"/>
      <c r="C129" s="37"/>
      <c r="D129" s="51"/>
      <c r="E129" s="41"/>
      <c r="F129" s="41"/>
      <c r="G129" s="41"/>
      <c r="H129" s="41"/>
    </row>
    <row r="130">
      <c r="A130" s="6"/>
      <c r="B130" s="7"/>
      <c r="C130" s="35"/>
      <c r="D130" s="50"/>
      <c r="E130" s="31"/>
      <c r="F130" s="31"/>
      <c r="G130" s="31"/>
      <c r="H130" s="31"/>
    </row>
    <row r="131">
      <c r="A131" s="11"/>
      <c r="B131" s="12"/>
      <c r="C131" s="37"/>
      <c r="D131" s="51"/>
      <c r="E131" s="41"/>
      <c r="F131" s="41"/>
      <c r="G131" s="41"/>
      <c r="H131" s="41"/>
    </row>
    <row r="132">
      <c r="A132" s="6"/>
      <c r="B132" s="7"/>
      <c r="C132" s="35"/>
      <c r="D132" s="50"/>
      <c r="E132" s="31"/>
      <c r="F132" s="31"/>
      <c r="G132" s="31"/>
      <c r="H132" s="31"/>
    </row>
    <row r="133">
      <c r="A133" s="11"/>
      <c r="B133" s="12"/>
      <c r="C133" s="37"/>
      <c r="D133" s="51"/>
      <c r="E133" s="41"/>
      <c r="F133" s="41"/>
      <c r="G133" s="41"/>
      <c r="H133" s="41"/>
    </row>
    <row r="134">
      <c r="A134" s="6"/>
      <c r="B134" s="7"/>
      <c r="C134" s="35"/>
      <c r="D134" s="50"/>
      <c r="E134" s="31"/>
      <c r="F134" s="31"/>
      <c r="G134" s="31"/>
      <c r="H134" s="31"/>
    </row>
    <row r="135">
      <c r="A135" s="11"/>
      <c r="B135" s="12"/>
      <c r="C135" s="37"/>
      <c r="D135" s="51"/>
      <c r="E135" s="41"/>
      <c r="F135" s="41"/>
      <c r="G135" s="41"/>
      <c r="H135" s="41"/>
    </row>
    <row r="136">
      <c r="A136" s="6"/>
      <c r="B136" s="7"/>
      <c r="C136" s="35"/>
      <c r="D136" s="50"/>
      <c r="E136" s="31"/>
      <c r="F136" s="31"/>
      <c r="G136" s="31"/>
      <c r="H136" s="31"/>
    </row>
    <row r="137">
      <c r="A137" s="11"/>
      <c r="B137" s="12"/>
      <c r="C137" s="37"/>
      <c r="D137" s="51"/>
      <c r="E137" s="41"/>
      <c r="F137" s="41"/>
      <c r="G137" s="41"/>
      <c r="H137" s="41"/>
    </row>
    <row r="138">
      <c r="A138" s="6"/>
      <c r="B138" s="7"/>
      <c r="C138" s="35"/>
      <c r="D138" s="50"/>
      <c r="E138" s="31"/>
      <c r="F138" s="31"/>
      <c r="G138" s="31"/>
      <c r="H138" s="31"/>
    </row>
    <row r="139">
      <c r="A139" s="11"/>
      <c r="B139" s="12"/>
      <c r="C139" s="37"/>
      <c r="D139" s="51"/>
      <c r="E139" s="41"/>
      <c r="F139" s="41"/>
      <c r="G139" s="41"/>
      <c r="H139" s="41"/>
    </row>
    <row r="140">
      <c r="A140" s="6"/>
      <c r="B140" s="7"/>
      <c r="C140" s="35"/>
      <c r="D140" s="50"/>
      <c r="E140" s="31"/>
      <c r="F140" s="31"/>
      <c r="G140" s="31"/>
      <c r="H140" s="31"/>
    </row>
    <row r="141">
      <c r="A141" s="11"/>
      <c r="B141" s="12"/>
      <c r="C141" s="37"/>
      <c r="D141" s="51"/>
      <c r="E141" s="41"/>
      <c r="F141" s="41"/>
      <c r="G141" s="41"/>
      <c r="H141" s="41"/>
    </row>
    <row r="142">
      <c r="A142" s="6"/>
      <c r="B142" s="7"/>
      <c r="C142" s="35"/>
      <c r="D142" s="50"/>
      <c r="E142" s="31"/>
      <c r="F142" s="31"/>
      <c r="G142" s="31"/>
      <c r="H142" s="31"/>
    </row>
    <row r="143">
      <c r="A143" s="11"/>
      <c r="B143" s="12"/>
      <c r="C143" s="37"/>
      <c r="D143" s="51"/>
      <c r="E143" s="41"/>
      <c r="F143" s="41"/>
      <c r="G143" s="41"/>
      <c r="H143" s="41"/>
    </row>
    <row r="144">
      <c r="A144" s="6"/>
      <c r="B144" s="7"/>
      <c r="C144" s="35"/>
      <c r="D144" s="50"/>
      <c r="E144" s="31"/>
      <c r="F144" s="31"/>
      <c r="G144" s="31"/>
      <c r="H144" s="31"/>
    </row>
    <row r="145">
      <c r="A145" s="11"/>
      <c r="B145" s="12"/>
      <c r="C145" s="37"/>
      <c r="D145" s="51"/>
      <c r="E145" s="41"/>
      <c r="F145" s="41"/>
      <c r="G145" s="41"/>
      <c r="H145" s="41"/>
    </row>
    <row r="146">
      <c r="A146" s="6"/>
      <c r="B146" s="7"/>
      <c r="C146" s="35"/>
      <c r="D146" s="50"/>
      <c r="E146" s="31"/>
      <c r="F146" s="31"/>
      <c r="G146" s="31"/>
      <c r="H146" s="31"/>
    </row>
    <row r="147">
      <c r="A147" s="11"/>
      <c r="B147" s="12"/>
      <c r="C147" s="37"/>
      <c r="D147" s="51"/>
      <c r="E147" s="41"/>
      <c r="F147" s="41"/>
      <c r="G147" s="41"/>
      <c r="H147" s="41"/>
    </row>
    <row r="148">
      <c r="A148" s="6"/>
      <c r="B148" s="7"/>
      <c r="C148" s="35"/>
      <c r="D148" s="50"/>
      <c r="E148" s="31"/>
      <c r="F148" s="31"/>
      <c r="G148" s="31"/>
      <c r="H148" s="31"/>
    </row>
    <row r="149">
      <c r="A149" s="11"/>
      <c r="B149" s="12"/>
      <c r="C149" s="37"/>
      <c r="D149" s="51"/>
      <c r="E149" s="41"/>
      <c r="F149" s="41"/>
      <c r="G149" s="41"/>
      <c r="H149" s="41"/>
    </row>
    <row r="150">
      <c r="A150" s="6"/>
      <c r="B150" s="7"/>
      <c r="C150" s="35"/>
      <c r="D150" s="50"/>
      <c r="E150" s="31"/>
      <c r="F150" s="31"/>
      <c r="G150" s="31"/>
      <c r="H150" s="31"/>
    </row>
    <row r="151">
      <c r="A151" s="11"/>
      <c r="B151" s="12"/>
      <c r="C151" s="37"/>
      <c r="D151" s="51"/>
      <c r="E151" s="41"/>
      <c r="F151" s="41"/>
      <c r="G151" s="41"/>
      <c r="H151" s="41"/>
    </row>
    <row r="152">
      <c r="A152" s="6"/>
      <c r="B152" s="7"/>
      <c r="C152" s="35"/>
      <c r="D152" s="50"/>
      <c r="E152" s="31"/>
      <c r="F152" s="31"/>
      <c r="G152" s="31"/>
      <c r="H152" s="31"/>
    </row>
    <row r="153">
      <c r="A153" s="11"/>
      <c r="B153" s="12"/>
      <c r="C153" s="37"/>
      <c r="D153" s="51"/>
      <c r="E153" s="41"/>
      <c r="F153" s="41"/>
      <c r="G153" s="41"/>
      <c r="H153" s="41"/>
    </row>
    <row r="154">
      <c r="A154" s="6"/>
      <c r="B154" s="7"/>
      <c r="C154" s="35"/>
      <c r="D154" s="50"/>
      <c r="E154" s="31"/>
      <c r="F154" s="31"/>
      <c r="G154" s="31"/>
      <c r="H154" s="31"/>
    </row>
    <row r="155">
      <c r="A155" s="11"/>
      <c r="B155" s="12"/>
      <c r="C155" s="37"/>
      <c r="D155" s="51"/>
      <c r="E155" s="41"/>
      <c r="F155" s="41"/>
      <c r="G155" s="41"/>
      <c r="H155" s="41"/>
    </row>
    <row r="156">
      <c r="A156" s="6"/>
      <c r="B156" s="7"/>
      <c r="C156" s="35"/>
      <c r="D156" s="50"/>
      <c r="E156" s="31"/>
      <c r="F156" s="31"/>
      <c r="G156" s="31"/>
      <c r="H156" s="31"/>
    </row>
    <row r="157">
      <c r="A157" s="11"/>
      <c r="B157" s="12"/>
      <c r="C157" s="37"/>
      <c r="D157" s="51"/>
      <c r="E157" s="41"/>
      <c r="F157" s="41"/>
      <c r="G157" s="41"/>
      <c r="H157" s="41"/>
    </row>
    <row r="158">
      <c r="A158" s="6"/>
      <c r="B158" s="7"/>
      <c r="C158" s="35"/>
      <c r="D158" s="50"/>
      <c r="E158" s="31"/>
      <c r="F158" s="31"/>
      <c r="G158" s="31"/>
      <c r="H158" s="31"/>
    </row>
    <row r="159">
      <c r="A159" s="11"/>
      <c r="B159" s="12"/>
      <c r="C159" s="37"/>
      <c r="D159" s="51"/>
      <c r="E159" s="41"/>
      <c r="F159" s="41"/>
      <c r="G159" s="41"/>
      <c r="H159" s="41"/>
    </row>
    <row r="160">
      <c r="A160" s="6"/>
      <c r="B160" s="7"/>
      <c r="C160" s="35"/>
      <c r="D160" s="50"/>
      <c r="E160" s="31"/>
      <c r="F160" s="31"/>
      <c r="G160" s="31"/>
      <c r="H160" s="31"/>
    </row>
    <row r="161">
      <c r="A161" s="11"/>
      <c r="B161" s="12"/>
      <c r="C161" s="37"/>
      <c r="D161" s="51"/>
      <c r="E161" s="41"/>
      <c r="F161" s="41"/>
      <c r="G161" s="41"/>
      <c r="H161" s="41"/>
    </row>
    <row r="162">
      <c r="A162" s="6"/>
      <c r="B162" s="7"/>
      <c r="C162" s="35"/>
      <c r="D162" s="50"/>
      <c r="E162" s="31"/>
      <c r="F162" s="31"/>
      <c r="G162" s="31"/>
      <c r="H162" s="31"/>
    </row>
    <row r="163">
      <c r="A163" s="11"/>
      <c r="B163" s="12"/>
      <c r="C163" s="37"/>
      <c r="D163" s="51"/>
      <c r="E163" s="41"/>
      <c r="F163" s="41"/>
      <c r="G163" s="41"/>
      <c r="H163" s="41"/>
    </row>
    <row r="164">
      <c r="A164" s="6"/>
      <c r="B164" s="7"/>
      <c r="C164" s="35"/>
      <c r="D164" s="50"/>
      <c r="E164" s="31"/>
      <c r="F164" s="31"/>
      <c r="G164" s="31"/>
      <c r="H164" s="31"/>
    </row>
    <row r="165">
      <c r="A165" s="11"/>
      <c r="B165" s="12"/>
      <c r="C165" s="37"/>
      <c r="D165" s="51"/>
      <c r="E165" s="41"/>
      <c r="F165" s="41"/>
      <c r="G165" s="41"/>
      <c r="H165" s="41"/>
    </row>
    <row r="166">
      <c r="A166" s="6"/>
      <c r="B166" s="7"/>
      <c r="C166" s="35"/>
      <c r="D166" s="50"/>
      <c r="E166" s="31"/>
      <c r="F166" s="31"/>
      <c r="G166" s="31"/>
      <c r="H166" s="31"/>
    </row>
    <row r="167">
      <c r="A167" s="11"/>
      <c r="B167" s="12"/>
      <c r="C167" s="37"/>
      <c r="D167" s="51"/>
      <c r="E167" s="41"/>
      <c r="F167" s="41"/>
      <c r="G167" s="41"/>
      <c r="H167" s="41"/>
    </row>
    <row r="168">
      <c r="A168" s="6"/>
      <c r="B168" s="7"/>
      <c r="C168" s="35"/>
      <c r="D168" s="50"/>
      <c r="E168" s="31"/>
      <c r="F168" s="31"/>
      <c r="G168" s="31"/>
      <c r="H168" s="31"/>
    </row>
    <row r="169">
      <c r="A169" s="11"/>
      <c r="B169" s="12"/>
      <c r="C169" s="37"/>
      <c r="D169" s="51"/>
      <c r="E169" s="41"/>
      <c r="F169" s="41"/>
      <c r="G169" s="41"/>
      <c r="H169" s="41"/>
    </row>
    <row r="170">
      <c r="A170" s="6"/>
      <c r="B170" s="7"/>
      <c r="C170" s="35"/>
      <c r="D170" s="50"/>
      <c r="E170" s="31"/>
      <c r="F170" s="31"/>
      <c r="G170" s="31"/>
      <c r="H170" s="31"/>
    </row>
    <row r="171">
      <c r="A171" s="11"/>
      <c r="B171" s="12"/>
      <c r="C171" s="37"/>
      <c r="D171" s="51"/>
      <c r="E171" s="41"/>
      <c r="F171" s="41"/>
      <c r="G171" s="41"/>
      <c r="H171" s="41"/>
    </row>
    <row r="172">
      <c r="A172" s="6"/>
      <c r="B172" s="7"/>
      <c r="C172" s="35"/>
      <c r="D172" s="50"/>
      <c r="E172" s="31"/>
      <c r="F172" s="31"/>
      <c r="G172" s="31"/>
      <c r="H172" s="31"/>
    </row>
    <row r="173">
      <c r="A173" s="11"/>
      <c r="B173" s="12"/>
      <c r="C173" s="37"/>
      <c r="D173" s="51"/>
      <c r="E173" s="41"/>
      <c r="F173" s="41"/>
      <c r="G173" s="41"/>
      <c r="H173" s="41"/>
    </row>
    <row r="174">
      <c r="A174" s="6"/>
      <c r="B174" s="7"/>
      <c r="C174" s="35"/>
      <c r="D174" s="50"/>
      <c r="E174" s="31"/>
      <c r="F174" s="31"/>
      <c r="G174" s="31"/>
      <c r="H174" s="31"/>
    </row>
    <row r="175">
      <c r="A175" s="11"/>
      <c r="B175" s="12"/>
      <c r="C175" s="37"/>
      <c r="D175" s="51"/>
      <c r="E175" s="41"/>
      <c r="F175" s="41"/>
      <c r="G175" s="41"/>
      <c r="H175" s="41"/>
    </row>
    <row r="176">
      <c r="A176" s="6"/>
      <c r="B176" s="7"/>
      <c r="C176" s="35"/>
      <c r="D176" s="50"/>
      <c r="E176" s="31"/>
      <c r="F176" s="31"/>
      <c r="G176" s="31"/>
      <c r="H176" s="31"/>
    </row>
    <row r="177">
      <c r="A177" s="11"/>
      <c r="B177" s="12"/>
      <c r="C177" s="37"/>
      <c r="D177" s="51"/>
      <c r="E177" s="41"/>
      <c r="F177" s="41"/>
      <c r="G177" s="41"/>
      <c r="H177" s="41"/>
    </row>
    <row r="178">
      <c r="A178" s="6"/>
      <c r="B178" s="7"/>
      <c r="C178" s="35"/>
      <c r="D178" s="50"/>
      <c r="E178" s="31"/>
      <c r="F178" s="31"/>
      <c r="G178" s="31"/>
      <c r="H178" s="31"/>
    </row>
    <row r="179">
      <c r="A179" s="11"/>
      <c r="B179" s="12"/>
      <c r="C179" s="37"/>
      <c r="D179" s="51"/>
      <c r="E179" s="41"/>
      <c r="F179" s="41"/>
      <c r="G179" s="41"/>
      <c r="H179" s="41"/>
    </row>
    <row r="180">
      <c r="A180" s="6"/>
      <c r="B180" s="7"/>
      <c r="C180" s="35"/>
      <c r="D180" s="50"/>
      <c r="E180" s="31"/>
      <c r="F180" s="31"/>
      <c r="G180" s="31"/>
      <c r="H180" s="31"/>
    </row>
    <row r="181">
      <c r="A181" s="11"/>
      <c r="B181" s="12"/>
      <c r="C181" s="37"/>
      <c r="D181" s="51"/>
      <c r="E181" s="41"/>
      <c r="F181" s="41"/>
      <c r="G181" s="41"/>
      <c r="H181" s="41"/>
    </row>
    <row r="182">
      <c r="A182" s="6"/>
      <c r="B182" s="7"/>
      <c r="C182" s="35"/>
      <c r="D182" s="50"/>
      <c r="E182" s="31"/>
      <c r="F182" s="31"/>
      <c r="G182" s="31"/>
      <c r="H182" s="31"/>
    </row>
    <row r="183">
      <c r="A183" s="11"/>
      <c r="B183" s="12"/>
      <c r="C183" s="37"/>
      <c r="D183" s="51"/>
      <c r="E183" s="41"/>
      <c r="F183" s="41"/>
      <c r="G183" s="41"/>
      <c r="H183" s="41"/>
    </row>
    <row r="184">
      <c r="A184" s="6"/>
      <c r="B184" s="7"/>
      <c r="C184" s="35"/>
      <c r="D184" s="50"/>
      <c r="E184" s="31"/>
      <c r="F184" s="31"/>
      <c r="G184" s="31"/>
      <c r="H184" s="31"/>
    </row>
    <row r="185">
      <c r="A185" s="11"/>
      <c r="B185" s="12"/>
      <c r="C185" s="37"/>
      <c r="D185" s="51"/>
      <c r="E185" s="41"/>
      <c r="F185" s="41"/>
      <c r="G185" s="41"/>
      <c r="H185" s="41"/>
    </row>
    <row r="186">
      <c r="A186" s="6"/>
      <c r="B186" s="7"/>
      <c r="C186" s="35"/>
      <c r="D186" s="50"/>
      <c r="E186" s="31"/>
      <c r="F186" s="31"/>
      <c r="G186" s="31"/>
      <c r="H186" s="31"/>
    </row>
    <row r="187">
      <c r="A187" s="11"/>
      <c r="B187" s="12"/>
      <c r="C187" s="37"/>
      <c r="D187" s="51"/>
      <c r="E187" s="41"/>
      <c r="F187" s="41"/>
      <c r="G187" s="41"/>
      <c r="H187" s="41"/>
    </row>
    <row r="188">
      <c r="A188" s="6"/>
      <c r="B188" s="7"/>
      <c r="C188" s="35"/>
      <c r="D188" s="50"/>
      <c r="E188" s="31"/>
      <c r="F188" s="31"/>
      <c r="G188" s="31"/>
      <c r="H188" s="31"/>
    </row>
    <row r="189">
      <c r="A189" s="11"/>
      <c r="B189" s="12"/>
      <c r="C189" s="37"/>
      <c r="D189" s="51"/>
      <c r="E189" s="41"/>
      <c r="F189" s="41"/>
      <c r="G189" s="41"/>
      <c r="H189" s="41"/>
    </row>
    <row r="190">
      <c r="A190" s="6"/>
      <c r="B190" s="7"/>
      <c r="C190" s="35"/>
      <c r="D190" s="50"/>
      <c r="E190" s="31"/>
      <c r="F190" s="31"/>
      <c r="G190" s="31"/>
      <c r="H190" s="31"/>
    </row>
    <row r="191">
      <c r="A191" s="11"/>
      <c r="B191" s="12"/>
      <c r="C191" s="37"/>
      <c r="D191" s="51"/>
      <c r="E191" s="41"/>
      <c r="F191" s="41"/>
      <c r="G191" s="41"/>
      <c r="H191" s="41"/>
    </row>
    <row r="192">
      <c r="A192" s="6"/>
      <c r="B192" s="7"/>
      <c r="C192" s="35"/>
      <c r="D192" s="50"/>
      <c r="E192" s="31"/>
      <c r="F192" s="31"/>
      <c r="G192" s="31"/>
      <c r="H192" s="31"/>
    </row>
    <row r="193">
      <c r="A193" s="11"/>
      <c r="B193" s="12"/>
      <c r="C193" s="37"/>
      <c r="D193" s="51"/>
      <c r="E193" s="41"/>
      <c r="F193" s="41"/>
      <c r="G193" s="41"/>
      <c r="H193" s="41"/>
    </row>
    <row r="194">
      <c r="A194" s="6"/>
      <c r="B194" s="7"/>
      <c r="C194" s="35"/>
      <c r="D194" s="50"/>
      <c r="E194" s="31"/>
      <c r="F194" s="31"/>
      <c r="G194" s="31"/>
      <c r="H194" s="31"/>
    </row>
    <row r="195">
      <c r="A195" s="11"/>
      <c r="B195" s="12"/>
      <c r="C195" s="37"/>
      <c r="D195" s="51"/>
      <c r="E195" s="41"/>
      <c r="F195" s="41"/>
      <c r="G195" s="41"/>
      <c r="H195" s="41"/>
    </row>
    <row r="196">
      <c r="A196" s="6"/>
      <c r="B196" s="7"/>
      <c r="C196" s="35"/>
      <c r="D196" s="50"/>
      <c r="E196" s="31"/>
      <c r="F196" s="31"/>
      <c r="G196" s="31"/>
      <c r="H196" s="31"/>
    </row>
    <row r="197">
      <c r="A197" s="11"/>
      <c r="B197" s="12"/>
      <c r="C197" s="37"/>
      <c r="D197" s="51"/>
      <c r="E197" s="41"/>
      <c r="F197" s="41"/>
      <c r="G197" s="41"/>
      <c r="H197" s="41"/>
    </row>
    <row r="198">
      <c r="A198" s="6"/>
      <c r="B198" s="7"/>
      <c r="C198" s="35"/>
      <c r="D198" s="50"/>
      <c r="E198" s="31"/>
      <c r="F198" s="31"/>
      <c r="G198" s="31"/>
      <c r="H198" s="31"/>
    </row>
    <row r="199">
      <c r="A199" s="11"/>
      <c r="B199" s="12"/>
      <c r="C199" s="37"/>
      <c r="D199" s="51"/>
      <c r="E199" s="41"/>
      <c r="F199" s="41"/>
      <c r="G199" s="41"/>
      <c r="H199" s="41"/>
    </row>
    <row r="200">
      <c r="A200" s="6"/>
      <c r="B200" s="7"/>
      <c r="C200" s="35"/>
      <c r="D200" s="50"/>
      <c r="E200" s="31"/>
      <c r="F200" s="31"/>
      <c r="G200" s="31"/>
      <c r="H200" s="31"/>
    </row>
    <row r="201">
      <c r="A201" s="11"/>
      <c r="B201" s="12"/>
      <c r="C201" s="37"/>
      <c r="D201" s="51"/>
      <c r="E201" s="41"/>
      <c r="F201" s="41"/>
      <c r="G201" s="41"/>
      <c r="H201" s="41"/>
    </row>
    <row r="202">
      <c r="A202" s="6"/>
      <c r="B202" s="7"/>
      <c r="C202" s="35"/>
      <c r="D202" s="50"/>
      <c r="E202" s="31"/>
      <c r="F202" s="31"/>
      <c r="G202" s="31"/>
      <c r="H202" s="31"/>
    </row>
    <row r="203">
      <c r="A203" s="11"/>
      <c r="B203" s="12"/>
      <c r="C203" s="37"/>
      <c r="D203" s="51"/>
      <c r="E203" s="41"/>
      <c r="F203" s="41"/>
      <c r="G203" s="41"/>
      <c r="H203" s="41"/>
    </row>
    <row r="204">
      <c r="A204" s="6"/>
      <c r="B204" s="7"/>
      <c r="C204" s="35"/>
      <c r="D204" s="50"/>
      <c r="E204" s="31"/>
      <c r="F204" s="31"/>
      <c r="G204" s="31"/>
      <c r="H204" s="31"/>
    </row>
    <row r="205">
      <c r="A205" s="11"/>
      <c r="B205" s="12"/>
      <c r="C205" s="37"/>
      <c r="D205" s="51"/>
      <c r="E205" s="41"/>
      <c r="F205" s="41"/>
      <c r="G205" s="41"/>
      <c r="H205" s="41"/>
    </row>
    <row r="206">
      <c r="A206" s="6"/>
      <c r="B206" s="7"/>
      <c r="C206" s="35"/>
      <c r="D206" s="50"/>
      <c r="E206" s="31"/>
      <c r="F206" s="31"/>
      <c r="G206" s="31"/>
      <c r="H206" s="31"/>
    </row>
    <row r="207">
      <c r="A207" s="11"/>
      <c r="B207" s="12"/>
      <c r="C207" s="37"/>
      <c r="D207" s="51"/>
      <c r="E207" s="41"/>
      <c r="F207" s="41"/>
      <c r="G207" s="41"/>
      <c r="H207" s="41"/>
    </row>
    <row r="208">
      <c r="A208" s="6"/>
      <c r="B208" s="7"/>
      <c r="C208" s="35"/>
      <c r="D208" s="50"/>
      <c r="E208" s="31"/>
      <c r="F208" s="31"/>
      <c r="G208" s="31"/>
      <c r="H208" s="31"/>
    </row>
    <row r="209">
      <c r="A209" s="11"/>
      <c r="B209" s="12"/>
      <c r="C209" s="37"/>
      <c r="D209" s="51"/>
      <c r="E209" s="41"/>
      <c r="F209" s="41"/>
      <c r="G209" s="41"/>
      <c r="H209" s="41"/>
    </row>
    <row r="210">
      <c r="A210" s="6"/>
      <c r="B210" s="7"/>
      <c r="C210" s="35"/>
      <c r="D210" s="50"/>
      <c r="E210" s="31"/>
      <c r="F210" s="31"/>
      <c r="G210" s="31"/>
      <c r="H210" s="31"/>
    </row>
    <row r="211">
      <c r="A211" s="11"/>
      <c r="B211" s="12"/>
      <c r="C211" s="37"/>
      <c r="D211" s="51"/>
      <c r="E211" s="41"/>
      <c r="F211" s="41"/>
      <c r="G211" s="41"/>
      <c r="H211" s="41"/>
    </row>
    <row r="212">
      <c r="A212" s="6"/>
      <c r="B212" s="7"/>
      <c r="C212" s="35"/>
      <c r="D212" s="50"/>
      <c r="E212" s="31"/>
      <c r="F212" s="31"/>
      <c r="G212" s="31"/>
      <c r="H212" s="31"/>
    </row>
    <row r="213">
      <c r="A213" s="11"/>
      <c r="B213" s="12"/>
      <c r="C213" s="37"/>
      <c r="D213" s="51"/>
      <c r="E213" s="41"/>
      <c r="F213" s="41"/>
      <c r="G213" s="41"/>
      <c r="H213" s="41"/>
    </row>
    <row r="214">
      <c r="A214" s="6"/>
      <c r="B214" s="7"/>
      <c r="C214" s="35"/>
      <c r="D214" s="50"/>
      <c r="E214" s="31"/>
      <c r="F214" s="31"/>
      <c r="G214" s="31"/>
      <c r="H214" s="31"/>
    </row>
    <row r="215">
      <c r="A215" s="11"/>
      <c r="B215" s="12"/>
      <c r="C215" s="37"/>
      <c r="D215" s="51"/>
      <c r="E215" s="41"/>
      <c r="F215" s="41"/>
      <c r="G215" s="41"/>
      <c r="H215" s="41"/>
    </row>
    <row r="216">
      <c r="A216" s="6"/>
      <c r="B216" s="7"/>
      <c r="C216" s="35"/>
      <c r="D216" s="50"/>
      <c r="E216" s="31"/>
      <c r="F216" s="31"/>
      <c r="G216" s="31"/>
      <c r="H216" s="31"/>
    </row>
    <row r="217">
      <c r="A217" s="11"/>
      <c r="B217" s="12"/>
      <c r="C217" s="37"/>
      <c r="D217" s="51"/>
      <c r="E217" s="41"/>
      <c r="F217" s="41"/>
      <c r="G217" s="41"/>
      <c r="H217" s="41"/>
    </row>
    <row r="218">
      <c r="A218" s="6"/>
      <c r="B218" s="7"/>
      <c r="C218" s="35"/>
      <c r="D218" s="50"/>
      <c r="E218" s="31"/>
      <c r="F218" s="31"/>
      <c r="G218" s="31"/>
      <c r="H218" s="31"/>
    </row>
    <row r="219">
      <c r="A219" s="11"/>
      <c r="B219" s="12"/>
      <c r="C219" s="37"/>
      <c r="D219" s="51"/>
      <c r="E219" s="41"/>
      <c r="F219" s="41"/>
      <c r="G219" s="41"/>
      <c r="H219" s="41"/>
    </row>
    <row r="220">
      <c r="A220" s="6"/>
      <c r="B220" s="7"/>
      <c r="C220" s="35"/>
      <c r="D220" s="50"/>
      <c r="E220" s="31"/>
      <c r="F220" s="31"/>
      <c r="G220" s="31"/>
      <c r="H220" s="31"/>
    </row>
    <row r="221">
      <c r="A221" s="11"/>
      <c r="B221" s="12"/>
      <c r="C221" s="37"/>
      <c r="D221" s="51"/>
      <c r="E221" s="41"/>
      <c r="F221" s="41"/>
      <c r="G221" s="41"/>
      <c r="H221" s="41"/>
    </row>
    <row r="222">
      <c r="A222" s="6"/>
      <c r="B222" s="7"/>
      <c r="C222" s="35"/>
      <c r="D222" s="50"/>
      <c r="E222" s="31"/>
      <c r="F222" s="31"/>
      <c r="G222" s="31"/>
      <c r="H222" s="31"/>
    </row>
    <row r="223">
      <c r="A223" s="11"/>
      <c r="B223" s="12"/>
      <c r="C223" s="37"/>
      <c r="D223" s="51"/>
      <c r="E223" s="41"/>
      <c r="F223" s="41"/>
      <c r="G223" s="41"/>
      <c r="H223" s="41"/>
    </row>
    <row r="224">
      <c r="A224" s="6"/>
      <c r="B224" s="7"/>
      <c r="C224" s="35"/>
      <c r="D224" s="50"/>
      <c r="E224" s="31"/>
      <c r="F224" s="31"/>
      <c r="G224" s="31"/>
      <c r="H224" s="31"/>
    </row>
    <row r="225">
      <c r="A225" s="11"/>
      <c r="B225" s="12"/>
      <c r="C225" s="37"/>
      <c r="D225" s="51"/>
      <c r="E225" s="41"/>
      <c r="F225" s="41"/>
      <c r="G225" s="41"/>
      <c r="H225" s="41"/>
    </row>
    <row r="226">
      <c r="A226" s="6"/>
      <c r="B226" s="7"/>
      <c r="C226" s="35"/>
      <c r="D226" s="50"/>
      <c r="E226" s="31"/>
      <c r="F226" s="31"/>
      <c r="G226" s="31"/>
      <c r="H226" s="31"/>
    </row>
    <row r="227">
      <c r="A227" s="11"/>
      <c r="B227" s="12"/>
      <c r="C227" s="37"/>
      <c r="D227" s="51"/>
      <c r="E227" s="41"/>
      <c r="F227" s="41"/>
      <c r="G227" s="41"/>
      <c r="H227" s="41"/>
    </row>
    <row r="228">
      <c r="A228" s="6"/>
      <c r="B228" s="7"/>
      <c r="C228" s="35"/>
      <c r="D228" s="50"/>
      <c r="E228" s="31"/>
      <c r="F228" s="31"/>
      <c r="G228" s="31"/>
      <c r="H228" s="31"/>
    </row>
    <row r="229">
      <c r="A229" s="11"/>
      <c r="B229" s="12"/>
      <c r="C229" s="37"/>
      <c r="D229" s="51"/>
      <c r="E229" s="41"/>
      <c r="F229" s="41"/>
      <c r="G229" s="41"/>
      <c r="H229" s="41"/>
    </row>
    <row r="230">
      <c r="A230" s="6"/>
      <c r="B230" s="7"/>
      <c r="C230" s="35"/>
      <c r="D230" s="50"/>
      <c r="E230" s="31"/>
      <c r="F230" s="31"/>
      <c r="G230" s="31"/>
      <c r="H230" s="31"/>
    </row>
    <row r="231">
      <c r="A231" s="11"/>
      <c r="B231" s="12"/>
      <c r="C231" s="37"/>
      <c r="D231" s="51"/>
      <c r="E231" s="41"/>
      <c r="F231" s="41"/>
      <c r="G231" s="41"/>
      <c r="H231" s="41"/>
    </row>
    <row r="232">
      <c r="A232" s="6"/>
      <c r="B232" s="7"/>
      <c r="C232" s="35"/>
      <c r="D232" s="50"/>
      <c r="E232" s="31"/>
      <c r="F232" s="31"/>
      <c r="G232" s="31"/>
      <c r="H232" s="31"/>
    </row>
    <row r="233">
      <c r="A233" s="11"/>
      <c r="B233" s="12"/>
      <c r="C233" s="37"/>
      <c r="D233" s="51"/>
      <c r="E233" s="41"/>
      <c r="F233" s="41"/>
      <c r="G233" s="41"/>
      <c r="H233" s="41"/>
    </row>
    <row r="234">
      <c r="A234" s="6"/>
      <c r="B234" s="7"/>
      <c r="C234" s="35"/>
      <c r="D234" s="50"/>
      <c r="E234" s="31"/>
      <c r="F234" s="31"/>
      <c r="G234" s="31"/>
      <c r="H234" s="31"/>
    </row>
    <row r="235">
      <c r="A235" s="11"/>
      <c r="B235" s="36"/>
      <c r="C235" s="37"/>
      <c r="D235" s="51"/>
      <c r="E235" s="41"/>
      <c r="F235" s="41"/>
      <c r="G235" s="41"/>
      <c r="H235" s="41"/>
    </row>
    <row r="236">
      <c r="A236" s="6"/>
      <c r="B236" s="34"/>
      <c r="C236" s="35"/>
      <c r="D236" s="50"/>
      <c r="E236" s="31"/>
      <c r="F236" s="31"/>
      <c r="G236" s="31"/>
      <c r="H236" s="31"/>
    </row>
    <row r="237">
      <c r="A237" s="11"/>
      <c r="B237" s="36"/>
      <c r="C237" s="37"/>
      <c r="D237" s="51"/>
      <c r="E237" s="41"/>
      <c r="F237" s="41"/>
      <c r="G237" s="41"/>
      <c r="H237" s="41"/>
    </row>
    <row r="238">
      <c r="A238" s="6"/>
      <c r="B238" s="34"/>
      <c r="C238" s="35"/>
      <c r="D238" s="50"/>
      <c r="E238" s="31"/>
      <c r="F238" s="31"/>
      <c r="G238" s="31"/>
      <c r="H238" s="31"/>
    </row>
    <row r="239">
      <c r="A239" s="11"/>
      <c r="B239" s="36"/>
      <c r="C239" s="37"/>
      <c r="D239" s="51"/>
      <c r="E239" s="41"/>
      <c r="F239" s="41"/>
      <c r="G239" s="41"/>
      <c r="H239" s="41"/>
    </row>
    <row r="240">
      <c r="A240" s="6"/>
      <c r="B240" s="34"/>
      <c r="C240" s="35"/>
      <c r="D240" s="50"/>
      <c r="E240" s="31"/>
      <c r="F240" s="31"/>
      <c r="G240" s="31"/>
      <c r="H240" s="31"/>
    </row>
    <row r="241">
      <c r="A241" s="11"/>
      <c r="B241" s="36"/>
      <c r="C241" s="37"/>
      <c r="D241" s="51"/>
      <c r="E241" s="41"/>
      <c r="F241" s="41"/>
      <c r="G241" s="41"/>
      <c r="H241" s="41"/>
    </row>
    <row r="242">
      <c r="A242" s="6"/>
      <c r="B242" s="34"/>
      <c r="C242" s="35"/>
      <c r="D242" s="50"/>
      <c r="E242" s="31"/>
      <c r="F242" s="31"/>
      <c r="G242" s="31"/>
      <c r="H242" s="31"/>
    </row>
    <row r="243">
      <c r="A243" s="11"/>
      <c r="B243" s="36"/>
      <c r="C243" s="37"/>
      <c r="D243" s="51"/>
      <c r="E243" s="41"/>
      <c r="F243" s="41"/>
      <c r="G243" s="41"/>
      <c r="H243" s="41"/>
    </row>
    <row r="244">
      <c r="A244" s="6"/>
      <c r="B244" s="34"/>
      <c r="C244" s="35"/>
      <c r="D244" s="50"/>
      <c r="E244" s="31"/>
      <c r="F244" s="31"/>
      <c r="G244" s="31"/>
      <c r="H244" s="31"/>
    </row>
    <row r="245">
      <c r="A245" s="11"/>
      <c r="B245" s="36"/>
      <c r="C245" s="37"/>
      <c r="D245" s="51"/>
      <c r="E245" s="41"/>
      <c r="F245" s="41"/>
      <c r="G245" s="41"/>
      <c r="H245" s="41"/>
    </row>
    <row r="246">
      <c r="A246" s="6"/>
      <c r="B246" s="34"/>
      <c r="C246" s="35"/>
      <c r="D246" s="50"/>
      <c r="E246" s="31"/>
      <c r="F246" s="31"/>
      <c r="G246" s="31"/>
      <c r="H246" s="31"/>
    </row>
    <row r="247">
      <c r="A247" s="11"/>
      <c r="B247" s="36"/>
      <c r="C247" s="37"/>
      <c r="D247" s="51"/>
      <c r="E247" s="41"/>
      <c r="F247" s="41"/>
      <c r="G247" s="41"/>
      <c r="H247" s="41"/>
    </row>
    <row r="248">
      <c r="A248" s="6"/>
      <c r="B248" s="34"/>
      <c r="C248" s="35"/>
      <c r="D248" s="50"/>
      <c r="E248" s="31"/>
      <c r="F248" s="31"/>
      <c r="G248" s="31"/>
      <c r="H248" s="31"/>
    </row>
    <row r="249">
      <c r="A249" s="11"/>
      <c r="B249" s="36"/>
      <c r="C249" s="37"/>
      <c r="D249" s="51"/>
      <c r="E249" s="41"/>
      <c r="F249" s="41"/>
      <c r="G249" s="41"/>
      <c r="H249" s="41"/>
    </row>
    <row r="250">
      <c r="A250" s="6"/>
      <c r="B250" s="34"/>
      <c r="C250" s="35"/>
      <c r="D250" s="50"/>
      <c r="E250" s="31"/>
      <c r="F250" s="31"/>
      <c r="G250" s="31"/>
      <c r="H250" s="31"/>
    </row>
    <row r="251">
      <c r="A251" s="11"/>
      <c r="B251" s="36"/>
      <c r="C251" s="37"/>
      <c r="D251" s="51"/>
      <c r="E251" s="41"/>
      <c r="F251" s="41"/>
      <c r="G251" s="41"/>
      <c r="H251" s="41"/>
    </row>
    <row r="252">
      <c r="A252" s="6"/>
      <c r="B252" s="34"/>
      <c r="C252" s="35"/>
      <c r="D252" s="50"/>
      <c r="E252" s="31"/>
      <c r="F252" s="31"/>
      <c r="G252" s="31"/>
      <c r="H252" s="31"/>
    </row>
    <row r="253">
      <c r="A253" s="11"/>
      <c r="B253" s="36"/>
      <c r="C253" s="37"/>
      <c r="D253" s="51"/>
      <c r="E253" s="41"/>
      <c r="F253" s="41"/>
      <c r="G253" s="41"/>
      <c r="H253" s="41"/>
    </row>
    <row r="254">
      <c r="A254" s="6"/>
      <c r="B254" s="34"/>
      <c r="C254" s="35"/>
      <c r="D254" s="50"/>
      <c r="E254" s="31"/>
      <c r="F254" s="31"/>
      <c r="G254" s="31"/>
      <c r="H254" s="31"/>
    </row>
    <row r="255">
      <c r="A255" s="11"/>
      <c r="B255" s="36"/>
      <c r="C255" s="37"/>
      <c r="D255" s="51"/>
      <c r="E255" s="41"/>
      <c r="F255" s="41"/>
      <c r="G255" s="41"/>
      <c r="H255" s="41"/>
    </row>
    <row r="256">
      <c r="A256" s="6"/>
      <c r="B256" s="34"/>
      <c r="C256" s="35"/>
      <c r="D256" s="50"/>
      <c r="E256" s="31"/>
      <c r="F256" s="31"/>
      <c r="G256" s="31"/>
      <c r="H256" s="31"/>
    </row>
    <row r="257">
      <c r="A257" s="11"/>
      <c r="B257" s="36"/>
      <c r="C257" s="37"/>
      <c r="D257" s="51"/>
      <c r="E257" s="41"/>
      <c r="F257" s="41"/>
      <c r="G257" s="41"/>
      <c r="H257" s="41"/>
    </row>
    <row r="258">
      <c r="A258" s="6"/>
      <c r="B258" s="34"/>
      <c r="C258" s="35"/>
      <c r="D258" s="50"/>
      <c r="E258" s="31"/>
      <c r="F258" s="31"/>
      <c r="G258" s="31"/>
      <c r="H258" s="31"/>
    </row>
    <row r="259">
      <c r="A259" s="11"/>
      <c r="B259" s="36"/>
      <c r="C259" s="37"/>
      <c r="D259" s="51"/>
      <c r="E259" s="41"/>
      <c r="F259" s="41"/>
      <c r="G259" s="41"/>
      <c r="H259" s="41"/>
    </row>
    <row r="260">
      <c r="A260" s="6"/>
      <c r="B260" s="34"/>
      <c r="C260" s="35"/>
      <c r="D260" s="50"/>
      <c r="E260" s="31"/>
      <c r="F260" s="31"/>
      <c r="G260" s="31"/>
      <c r="H260" s="31"/>
    </row>
    <row r="261">
      <c r="A261" s="11"/>
      <c r="B261" s="36"/>
      <c r="C261" s="37"/>
      <c r="D261" s="51"/>
      <c r="E261" s="41"/>
      <c r="F261" s="41"/>
      <c r="G261" s="41"/>
      <c r="H261" s="41"/>
    </row>
    <row r="262">
      <c r="A262" s="6"/>
      <c r="B262" s="34"/>
      <c r="C262" s="35"/>
      <c r="D262" s="50"/>
      <c r="E262" s="31"/>
      <c r="F262" s="31"/>
      <c r="G262" s="31"/>
      <c r="H262" s="31"/>
    </row>
    <row r="263">
      <c r="A263" s="11"/>
      <c r="B263" s="36"/>
      <c r="C263" s="37"/>
      <c r="D263" s="51"/>
      <c r="E263" s="41"/>
      <c r="F263" s="41"/>
      <c r="G263" s="41"/>
      <c r="H263" s="41"/>
    </row>
    <row r="264">
      <c r="A264" s="6"/>
      <c r="B264" s="34"/>
      <c r="C264" s="35"/>
      <c r="D264" s="50"/>
      <c r="E264" s="31"/>
      <c r="F264" s="31"/>
      <c r="G264" s="31"/>
      <c r="H264" s="31"/>
    </row>
    <row r="265">
      <c r="A265" s="11"/>
      <c r="B265" s="36"/>
      <c r="C265" s="37"/>
      <c r="D265" s="51"/>
      <c r="E265" s="41"/>
      <c r="F265" s="41"/>
      <c r="G265" s="41"/>
      <c r="H265" s="41"/>
    </row>
    <row r="266">
      <c r="A266" s="6"/>
      <c r="B266" s="34"/>
      <c r="C266" s="35"/>
      <c r="D266" s="50"/>
      <c r="E266" s="31"/>
      <c r="F266" s="31"/>
      <c r="G266" s="31"/>
      <c r="H266" s="31"/>
    </row>
    <row r="267">
      <c r="A267" s="11"/>
      <c r="B267" s="36"/>
      <c r="C267" s="37"/>
      <c r="D267" s="51"/>
      <c r="E267" s="41"/>
      <c r="F267" s="41"/>
      <c r="G267" s="41"/>
      <c r="H267" s="41"/>
    </row>
    <row r="268">
      <c r="A268" s="6"/>
      <c r="B268" s="34"/>
      <c r="C268" s="35"/>
      <c r="D268" s="50"/>
      <c r="E268" s="31"/>
      <c r="F268" s="31"/>
      <c r="G268" s="31"/>
      <c r="H268" s="31"/>
    </row>
    <row r="269">
      <c r="A269" s="11"/>
      <c r="B269" s="36"/>
      <c r="C269" s="37"/>
      <c r="D269" s="51"/>
      <c r="E269" s="41"/>
      <c r="F269" s="41"/>
      <c r="G269" s="41"/>
      <c r="H269" s="41"/>
    </row>
    <row r="270">
      <c r="A270" s="6"/>
      <c r="B270" s="34"/>
      <c r="C270" s="35"/>
      <c r="D270" s="50"/>
      <c r="E270" s="31"/>
      <c r="F270" s="31"/>
      <c r="G270" s="31"/>
      <c r="H270" s="31"/>
    </row>
    <row r="271">
      <c r="A271" s="11"/>
      <c r="B271" s="36"/>
      <c r="C271" s="37"/>
      <c r="D271" s="51"/>
      <c r="E271" s="41"/>
      <c r="F271" s="41"/>
      <c r="G271" s="41"/>
      <c r="H271" s="41"/>
    </row>
    <row r="272">
      <c r="A272" s="6"/>
      <c r="B272" s="34"/>
      <c r="C272" s="35"/>
      <c r="D272" s="50"/>
      <c r="E272" s="31"/>
      <c r="F272" s="31"/>
      <c r="G272" s="31"/>
      <c r="H272" s="31"/>
    </row>
    <row r="273">
      <c r="A273" s="11"/>
      <c r="B273" s="36"/>
      <c r="C273" s="37"/>
      <c r="D273" s="51"/>
      <c r="E273" s="41"/>
      <c r="F273" s="41"/>
      <c r="G273" s="41"/>
      <c r="H273" s="41"/>
    </row>
    <row r="274">
      <c r="A274" s="6"/>
      <c r="B274" s="34"/>
      <c r="C274" s="35"/>
      <c r="D274" s="50"/>
      <c r="E274" s="31"/>
      <c r="F274" s="31"/>
      <c r="G274" s="31"/>
      <c r="H274" s="31"/>
    </row>
    <row r="275">
      <c r="A275" s="11"/>
      <c r="B275" s="36"/>
      <c r="C275" s="37"/>
      <c r="D275" s="51"/>
      <c r="E275" s="41"/>
      <c r="F275" s="41"/>
      <c r="G275" s="41"/>
      <c r="H275" s="41"/>
    </row>
    <row r="276">
      <c r="A276" s="6"/>
      <c r="B276" s="34"/>
      <c r="C276" s="35"/>
      <c r="D276" s="50"/>
      <c r="E276" s="31"/>
      <c r="F276" s="31"/>
      <c r="G276" s="31"/>
      <c r="H276" s="31"/>
    </row>
    <row r="277">
      <c r="A277" s="11"/>
      <c r="B277" s="36"/>
      <c r="C277" s="37"/>
      <c r="D277" s="51"/>
      <c r="E277" s="41"/>
      <c r="F277" s="41"/>
      <c r="G277" s="41"/>
      <c r="H277" s="41"/>
    </row>
    <row r="278">
      <c r="A278" s="6"/>
      <c r="B278" s="34"/>
      <c r="C278" s="35"/>
      <c r="D278" s="50"/>
      <c r="E278" s="31"/>
      <c r="F278" s="31"/>
      <c r="G278" s="31"/>
      <c r="H278" s="31"/>
    </row>
    <row r="279">
      <c r="A279" s="11"/>
      <c r="B279" s="36"/>
      <c r="C279" s="37"/>
      <c r="D279" s="51"/>
      <c r="E279" s="41"/>
      <c r="F279" s="41"/>
      <c r="G279" s="41"/>
      <c r="H279" s="41"/>
    </row>
    <row r="280">
      <c r="A280" s="6"/>
      <c r="B280" s="34"/>
      <c r="C280" s="35"/>
      <c r="D280" s="50"/>
      <c r="E280" s="31"/>
      <c r="F280" s="31"/>
      <c r="G280" s="31"/>
      <c r="H280" s="31"/>
    </row>
    <row r="281">
      <c r="A281" s="11"/>
      <c r="B281" s="36"/>
      <c r="C281" s="37"/>
      <c r="D281" s="51"/>
      <c r="E281" s="41"/>
      <c r="F281" s="41"/>
      <c r="G281" s="41"/>
      <c r="H281" s="41"/>
    </row>
    <row r="282">
      <c r="A282" s="6"/>
      <c r="B282" s="34"/>
      <c r="C282" s="35"/>
      <c r="D282" s="50"/>
      <c r="E282" s="31"/>
      <c r="F282" s="31"/>
      <c r="G282" s="31"/>
      <c r="H282" s="31"/>
    </row>
    <row r="283">
      <c r="A283" s="11"/>
      <c r="B283" s="36"/>
      <c r="C283" s="37"/>
      <c r="D283" s="51"/>
      <c r="E283" s="41"/>
      <c r="F283" s="41"/>
      <c r="G283" s="41"/>
      <c r="H283" s="41"/>
    </row>
    <row r="284">
      <c r="A284" s="6"/>
      <c r="B284" s="34"/>
      <c r="C284" s="35"/>
      <c r="D284" s="50"/>
      <c r="E284" s="31"/>
      <c r="F284" s="31"/>
      <c r="G284" s="31"/>
      <c r="H284" s="31"/>
    </row>
    <row r="285">
      <c r="A285" s="11"/>
      <c r="B285" s="36"/>
      <c r="C285" s="37"/>
      <c r="D285" s="51"/>
      <c r="E285" s="41"/>
      <c r="F285" s="41"/>
      <c r="G285" s="41"/>
      <c r="H285" s="41"/>
    </row>
    <row r="286">
      <c r="A286" s="6"/>
      <c r="B286" s="34"/>
      <c r="C286" s="35"/>
      <c r="D286" s="50"/>
      <c r="E286" s="31"/>
      <c r="F286" s="31"/>
      <c r="G286" s="31"/>
      <c r="H286" s="31"/>
    </row>
    <row r="287">
      <c r="A287" s="11"/>
      <c r="B287" s="36"/>
      <c r="C287" s="37"/>
      <c r="D287" s="51"/>
      <c r="E287" s="41"/>
      <c r="F287" s="41"/>
      <c r="G287" s="41"/>
      <c r="H287" s="41"/>
    </row>
    <row r="288">
      <c r="A288" s="6"/>
      <c r="B288" s="34"/>
      <c r="C288" s="35"/>
      <c r="D288" s="50"/>
      <c r="E288" s="31"/>
      <c r="F288" s="31"/>
      <c r="G288" s="31"/>
      <c r="H288" s="31"/>
    </row>
    <row r="289">
      <c r="A289" s="11"/>
      <c r="B289" s="36"/>
      <c r="C289" s="37"/>
      <c r="D289" s="51"/>
      <c r="E289" s="41"/>
      <c r="F289" s="41"/>
      <c r="G289" s="41"/>
      <c r="H289" s="41"/>
    </row>
    <row r="290">
      <c r="A290" s="6"/>
      <c r="B290" s="34"/>
      <c r="C290" s="35"/>
      <c r="D290" s="50"/>
      <c r="E290" s="31"/>
      <c r="F290" s="31"/>
      <c r="G290" s="31"/>
      <c r="H290" s="31"/>
    </row>
    <row r="291">
      <c r="A291" s="11"/>
      <c r="B291" s="36"/>
      <c r="C291" s="37"/>
      <c r="D291" s="51"/>
      <c r="E291" s="41"/>
      <c r="F291" s="41"/>
      <c r="G291" s="41"/>
      <c r="H291" s="41"/>
    </row>
    <row r="292">
      <c r="A292" s="6"/>
      <c r="B292" s="34"/>
      <c r="C292" s="35"/>
      <c r="D292" s="50"/>
      <c r="E292" s="31"/>
      <c r="F292" s="31"/>
      <c r="G292" s="31"/>
      <c r="H292" s="31"/>
    </row>
    <row r="293">
      <c r="A293" s="11"/>
      <c r="B293" s="36"/>
      <c r="C293" s="37"/>
      <c r="D293" s="51"/>
      <c r="E293" s="41"/>
      <c r="F293" s="41"/>
      <c r="G293" s="41"/>
      <c r="H293" s="41"/>
    </row>
    <row r="294">
      <c r="A294" s="6"/>
      <c r="B294" s="34"/>
      <c r="C294" s="35"/>
      <c r="D294" s="50"/>
      <c r="E294" s="31"/>
      <c r="F294" s="31"/>
      <c r="G294" s="31"/>
      <c r="H294" s="31"/>
    </row>
    <row r="295">
      <c r="A295" s="11"/>
      <c r="B295" s="36"/>
      <c r="C295" s="37"/>
      <c r="D295" s="51"/>
      <c r="E295" s="41"/>
      <c r="F295" s="41"/>
      <c r="G295" s="41"/>
      <c r="H295" s="41"/>
    </row>
    <row r="296">
      <c r="A296" s="6"/>
      <c r="B296" s="34"/>
      <c r="C296" s="35"/>
      <c r="D296" s="50"/>
      <c r="E296" s="31"/>
      <c r="F296" s="31"/>
      <c r="G296" s="31"/>
      <c r="H296" s="31"/>
    </row>
    <row r="297">
      <c r="A297" s="11"/>
      <c r="B297" s="36"/>
      <c r="C297" s="37"/>
      <c r="D297" s="51"/>
      <c r="E297" s="41"/>
      <c r="F297" s="41"/>
      <c r="G297" s="41"/>
      <c r="H297" s="41"/>
    </row>
    <row r="298">
      <c r="A298" s="6"/>
      <c r="B298" s="34"/>
      <c r="C298" s="35"/>
      <c r="D298" s="50"/>
      <c r="E298" s="31"/>
      <c r="F298" s="31"/>
      <c r="G298" s="31"/>
      <c r="H298" s="31"/>
    </row>
    <row r="299">
      <c r="A299" s="11"/>
      <c r="B299" s="36"/>
      <c r="C299" s="37"/>
      <c r="D299" s="51"/>
      <c r="E299" s="41"/>
      <c r="F299" s="41"/>
      <c r="G299" s="41"/>
      <c r="H299" s="41"/>
    </row>
    <row r="300">
      <c r="A300" s="6"/>
      <c r="B300" s="34"/>
      <c r="C300" s="35"/>
      <c r="D300" s="50"/>
      <c r="E300" s="31"/>
      <c r="F300" s="31"/>
      <c r="G300" s="31"/>
      <c r="H300" s="31"/>
    </row>
    <row r="301">
      <c r="A301" s="11"/>
      <c r="B301" s="36"/>
      <c r="C301" s="37"/>
      <c r="D301" s="51"/>
      <c r="E301" s="41"/>
      <c r="F301" s="41"/>
      <c r="G301" s="41"/>
      <c r="H301" s="41"/>
    </row>
    <row r="302">
      <c r="A302" s="6"/>
      <c r="B302" s="34"/>
      <c r="C302" s="35"/>
      <c r="D302" s="50"/>
      <c r="E302" s="31"/>
      <c r="F302" s="31"/>
      <c r="G302" s="31"/>
      <c r="H302" s="31"/>
    </row>
    <row r="303">
      <c r="A303" s="11"/>
      <c r="B303" s="36"/>
      <c r="C303" s="37"/>
      <c r="D303" s="51"/>
      <c r="E303" s="41"/>
      <c r="F303" s="41"/>
      <c r="G303" s="41"/>
      <c r="H303" s="41"/>
    </row>
    <row r="304">
      <c r="A304" s="6"/>
      <c r="B304" s="34"/>
      <c r="C304" s="35"/>
      <c r="D304" s="50"/>
      <c r="E304" s="31"/>
      <c r="F304" s="31"/>
      <c r="G304" s="31"/>
      <c r="H304" s="31"/>
    </row>
    <row r="305">
      <c r="A305" s="11"/>
      <c r="B305" s="36"/>
      <c r="C305" s="37"/>
      <c r="D305" s="51"/>
      <c r="E305" s="41"/>
      <c r="F305" s="41"/>
      <c r="G305" s="41"/>
      <c r="H305" s="41"/>
    </row>
    <row r="306">
      <c r="A306" s="6"/>
      <c r="B306" s="34"/>
      <c r="C306" s="35"/>
      <c r="D306" s="50"/>
      <c r="E306" s="31"/>
      <c r="F306" s="31"/>
      <c r="G306" s="31"/>
      <c r="H306" s="31"/>
    </row>
    <row r="307">
      <c r="A307" s="11"/>
      <c r="B307" s="36"/>
      <c r="C307" s="37"/>
      <c r="D307" s="51"/>
      <c r="E307" s="41"/>
      <c r="F307" s="41"/>
      <c r="G307" s="41"/>
      <c r="H307" s="41"/>
    </row>
    <row r="308">
      <c r="A308" s="6"/>
      <c r="B308" s="34"/>
      <c r="C308" s="35"/>
      <c r="D308" s="50"/>
      <c r="E308" s="31"/>
      <c r="F308" s="31"/>
      <c r="G308" s="31"/>
      <c r="H308" s="31"/>
    </row>
    <row r="309">
      <c r="A309" s="11"/>
      <c r="B309" s="36"/>
      <c r="C309" s="37"/>
      <c r="D309" s="51"/>
      <c r="E309" s="41"/>
      <c r="F309" s="41"/>
      <c r="G309" s="41"/>
      <c r="H309" s="41"/>
    </row>
    <row r="310">
      <c r="A310" s="6"/>
      <c r="B310" s="34"/>
      <c r="C310" s="35"/>
      <c r="D310" s="50"/>
      <c r="E310" s="31"/>
      <c r="F310" s="31"/>
      <c r="G310" s="31"/>
      <c r="H310" s="31"/>
    </row>
    <row r="311">
      <c r="A311" s="11"/>
      <c r="B311" s="36"/>
      <c r="C311" s="37"/>
      <c r="D311" s="51"/>
      <c r="E311" s="41"/>
      <c r="F311" s="41"/>
      <c r="G311" s="41"/>
      <c r="H311" s="41"/>
    </row>
    <row r="312">
      <c r="A312" s="6"/>
      <c r="B312" s="34"/>
      <c r="C312" s="35"/>
      <c r="D312" s="50"/>
      <c r="E312" s="31"/>
      <c r="F312" s="31"/>
      <c r="G312" s="31"/>
      <c r="H312" s="31"/>
    </row>
    <row r="313">
      <c r="A313" s="11"/>
      <c r="B313" s="36"/>
      <c r="C313" s="37"/>
      <c r="D313" s="51"/>
      <c r="E313" s="41"/>
      <c r="F313" s="41"/>
      <c r="G313" s="41"/>
      <c r="H313" s="41"/>
    </row>
    <row r="314">
      <c r="A314" s="6"/>
      <c r="B314" s="34"/>
      <c r="C314" s="35"/>
      <c r="D314" s="50"/>
      <c r="E314" s="31"/>
      <c r="F314" s="31"/>
      <c r="G314" s="31"/>
      <c r="H314" s="31"/>
    </row>
    <row r="315">
      <c r="A315" s="11"/>
      <c r="B315" s="36"/>
      <c r="C315" s="37"/>
      <c r="D315" s="51"/>
      <c r="E315" s="41"/>
      <c r="F315" s="41"/>
      <c r="G315" s="41"/>
      <c r="H315" s="41"/>
    </row>
    <row r="316">
      <c r="A316" s="6"/>
      <c r="B316" s="34"/>
      <c r="C316" s="35"/>
      <c r="D316" s="50"/>
      <c r="E316" s="31"/>
      <c r="F316" s="31"/>
      <c r="G316" s="31"/>
      <c r="H316" s="31"/>
    </row>
    <row r="317">
      <c r="A317" s="11"/>
      <c r="B317" s="36"/>
      <c r="C317" s="37"/>
      <c r="D317" s="51"/>
      <c r="E317" s="41"/>
      <c r="F317" s="41"/>
      <c r="G317" s="41"/>
      <c r="H317" s="41"/>
    </row>
    <row r="318">
      <c r="A318" s="6"/>
      <c r="B318" s="34"/>
      <c r="C318" s="35"/>
      <c r="D318" s="50"/>
      <c r="E318" s="31"/>
      <c r="F318" s="31"/>
      <c r="G318" s="31"/>
      <c r="H318" s="31"/>
    </row>
    <row r="319">
      <c r="A319" s="11"/>
      <c r="B319" s="36"/>
      <c r="C319" s="37"/>
      <c r="D319" s="51"/>
      <c r="E319" s="41"/>
      <c r="F319" s="41"/>
      <c r="G319" s="41"/>
      <c r="H319" s="41"/>
    </row>
    <row r="320">
      <c r="A320" s="6"/>
      <c r="B320" s="34"/>
      <c r="C320" s="35"/>
      <c r="D320" s="50"/>
      <c r="E320" s="31"/>
      <c r="F320" s="31"/>
      <c r="G320" s="31"/>
      <c r="H320" s="31"/>
    </row>
    <row r="321">
      <c r="A321" s="11"/>
      <c r="B321" s="36"/>
      <c r="C321" s="37"/>
      <c r="D321" s="51"/>
      <c r="E321" s="41"/>
      <c r="F321" s="41"/>
      <c r="G321" s="41"/>
      <c r="H321" s="41"/>
    </row>
    <row r="322">
      <c r="A322" s="6"/>
      <c r="B322" s="34"/>
      <c r="C322" s="35"/>
      <c r="D322" s="50"/>
      <c r="E322" s="31"/>
      <c r="F322" s="31"/>
      <c r="G322" s="31"/>
      <c r="H322" s="31"/>
    </row>
    <row r="323">
      <c r="A323" s="11"/>
      <c r="B323" s="36"/>
      <c r="C323" s="37"/>
      <c r="D323" s="51"/>
      <c r="E323" s="41"/>
      <c r="F323" s="41"/>
      <c r="G323" s="41"/>
      <c r="H323" s="41"/>
    </row>
    <row r="324">
      <c r="A324" s="6"/>
      <c r="B324" s="34"/>
      <c r="C324" s="35"/>
      <c r="D324" s="50"/>
      <c r="E324" s="31"/>
      <c r="F324" s="31"/>
      <c r="G324" s="31"/>
      <c r="H324" s="31"/>
    </row>
    <row r="325">
      <c r="A325" s="11"/>
      <c r="B325" s="36"/>
      <c r="C325" s="37"/>
      <c r="D325" s="51"/>
      <c r="E325" s="41"/>
      <c r="F325" s="41"/>
      <c r="G325" s="41"/>
      <c r="H325" s="41"/>
    </row>
    <row r="326">
      <c r="A326" s="6"/>
      <c r="B326" s="34"/>
      <c r="C326" s="35"/>
      <c r="D326" s="50"/>
      <c r="E326" s="31"/>
      <c r="F326" s="31"/>
      <c r="G326" s="31"/>
      <c r="H326" s="31"/>
    </row>
    <row r="327">
      <c r="A327" s="11"/>
      <c r="B327" s="36"/>
      <c r="C327" s="37"/>
      <c r="D327" s="51"/>
      <c r="E327" s="41"/>
      <c r="F327" s="41"/>
      <c r="G327" s="41"/>
      <c r="H327" s="41"/>
    </row>
    <row r="328">
      <c r="A328" s="6"/>
      <c r="B328" s="34"/>
      <c r="C328" s="35"/>
      <c r="D328" s="50"/>
      <c r="E328" s="31"/>
      <c r="F328" s="31"/>
      <c r="G328" s="31"/>
      <c r="H328" s="31"/>
    </row>
    <row r="329">
      <c r="A329" s="11"/>
      <c r="B329" s="36"/>
      <c r="C329" s="37"/>
      <c r="D329" s="51"/>
      <c r="E329" s="41"/>
      <c r="F329" s="41"/>
      <c r="G329" s="41"/>
      <c r="H329" s="41"/>
    </row>
    <row r="330">
      <c r="A330" s="6"/>
      <c r="B330" s="34"/>
      <c r="C330" s="35"/>
      <c r="D330" s="50"/>
      <c r="E330" s="31"/>
      <c r="F330" s="31"/>
      <c r="G330" s="31"/>
      <c r="H330" s="31"/>
    </row>
    <row r="331">
      <c r="A331" s="11"/>
      <c r="B331" s="36"/>
      <c r="C331" s="37"/>
      <c r="D331" s="51"/>
      <c r="E331" s="41"/>
      <c r="F331" s="41"/>
      <c r="G331" s="41"/>
      <c r="H331" s="41"/>
    </row>
    <row r="332">
      <c r="A332" s="6"/>
      <c r="B332" s="34"/>
      <c r="C332" s="35"/>
      <c r="D332" s="50"/>
      <c r="E332" s="31"/>
      <c r="F332" s="31"/>
      <c r="G332" s="31"/>
      <c r="H332" s="31"/>
    </row>
    <row r="333">
      <c r="A333" s="11"/>
      <c r="B333" s="36"/>
      <c r="C333" s="37"/>
      <c r="D333" s="51"/>
      <c r="E333" s="41"/>
      <c r="F333" s="41"/>
      <c r="G333" s="41"/>
      <c r="H333" s="41"/>
    </row>
    <row r="334">
      <c r="A334" s="6"/>
      <c r="B334" s="34"/>
      <c r="C334" s="35"/>
      <c r="D334" s="50"/>
      <c r="E334" s="31"/>
      <c r="F334" s="31"/>
      <c r="G334" s="31"/>
      <c r="H334" s="31"/>
    </row>
    <row r="335">
      <c r="A335" s="11"/>
      <c r="B335" s="36"/>
      <c r="C335" s="37"/>
      <c r="D335" s="51"/>
      <c r="E335" s="41"/>
      <c r="F335" s="41"/>
      <c r="G335" s="41"/>
      <c r="H335" s="41"/>
    </row>
    <row r="336">
      <c r="A336" s="6"/>
      <c r="B336" s="34"/>
      <c r="C336" s="35"/>
      <c r="D336" s="50"/>
      <c r="E336" s="31"/>
      <c r="F336" s="31"/>
      <c r="G336" s="31"/>
      <c r="H336" s="31"/>
    </row>
    <row r="337">
      <c r="A337" s="11"/>
      <c r="B337" s="36"/>
      <c r="C337" s="37"/>
      <c r="D337" s="51"/>
      <c r="E337" s="41"/>
      <c r="F337" s="41"/>
      <c r="G337" s="41"/>
      <c r="H337" s="41"/>
    </row>
    <row r="338">
      <c r="A338" s="6"/>
      <c r="B338" s="34"/>
      <c r="C338" s="35"/>
      <c r="D338" s="50"/>
      <c r="E338" s="31"/>
      <c r="F338" s="31"/>
      <c r="G338" s="31"/>
      <c r="H338" s="31"/>
    </row>
    <row r="339">
      <c r="A339" s="11"/>
      <c r="B339" s="36"/>
      <c r="C339" s="37"/>
      <c r="D339" s="51"/>
      <c r="E339" s="41"/>
      <c r="F339" s="41"/>
      <c r="G339" s="41"/>
      <c r="H339" s="41"/>
    </row>
    <row r="340">
      <c r="A340" s="6"/>
      <c r="B340" s="34"/>
      <c r="C340" s="35"/>
      <c r="D340" s="50"/>
      <c r="E340" s="31"/>
      <c r="F340" s="31"/>
      <c r="G340" s="31"/>
      <c r="H340" s="31"/>
    </row>
    <row r="341">
      <c r="A341" s="11"/>
      <c r="B341" s="36"/>
      <c r="C341" s="37"/>
      <c r="D341" s="51"/>
      <c r="E341" s="41"/>
      <c r="F341" s="41"/>
      <c r="G341" s="41"/>
      <c r="H341" s="41"/>
    </row>
    <row r="342">
      <c r="A342" s="6"/>
      <c r="B342" s="34"/>
      <c r="C342" s="35"/>
      <c r="D342" s="50"/>
      <c r="E342" s="31"/>
      <c r="F342" s="31"/>
      <c r="G342" s="31"/>
      <c r="H342" s="31"/>
    </row>
    <row r="343">
      <c r="A343" s="11"/>
      <c r="B343" s="36"/>
      <c r="C343" s="37"/>
      <c r="D343" s="51"/>
      <c r="E343" s="41"/>
      <c r="F343" s="41"/>
      <c r="G343" s="41"/>
      <c r="H343" s="41"/>
    </row>
    <row r="344">
      <c r="A344" s="6"/>
      <c r="B344" s="34"/>
      <c r="C344" s="35"/>
      <c r="D344" s="50"/>
      <c r="E344" s="31"/>
      <c r="F344" s="31"/>
      <c r="G344" s="31"/>
      <c r="H344" s="31"/>
    </row>
    <row r="345">
      <c r="A345" s="11"/>
      <c r="B345" s="36"/>
      <c r="C345" s="37"/>
      <c r="D345" s="51"/>
      <c r="E345" s="41"/>
      <c r="F345" s="41"/>
      <c r="G345" s="41"/>
      <c r="H345" s="41"/>
    </row>
    <row r="346">
      <c r="A346" s="6"/>
      <c r="B346" s="34"/>
      <c r="C346" s="35"/>
      <c r="D346" s="50"/>
      <c r="E346" s="31"/>
      <c r="F346" s="31"/>
      <c r="G346" s="31"/>
      <c r="H346" s="31"/>
    </row>
    <row r="347">
      <c r="A347" s="11"/>
      <c r="B347" s="36"/>
      <c r="C347" s="37"/>
      <c r="D347" s="51"/>
      <c r="E347" s="41"/>
      <c r="F347" s="41"/>
      <c r="G347" s="41"/>
      <c r="H347" s="41"/>
    </row>
    <row r="348">
      <c r="A348" s="6"/>
      <c r="B348" s="34"/>
      <c r="C348" s="35"/>
      <c r="D348" s="50"/>
      <c r="E348" s="31"/>
      <c r="F348" s="31"/>
      <c r="G348" s="31"/>
      <c r="H348" s="31"/>
    </row>
    <row r="349">
      <c r="A349" s="11"/>
      <c r="B349" s="36"/>
      <c r="C349" s="37"/>
      <c r="D349" s="51"/>
      <c r="E349" s="41"/>
      <c r="F349" s="41"/>
      <c r="G349" s="41"/>
      <c r="H349" s="41"/>
    </row>
    <row r="350">
      <c r="A350" s="6"/>
      <c r="B350" s="34"/>
      <c r="C350" s="35"/>
      <c r="D350" s="50"/>
      <c r="E350" s="31"/>
      <c r="F350" s="31"/>
      <c r="G350" s="31"/>
      <c r="H350" s="31"/>
    </row>
    <row r="351">
      <c r="A351" s="11"/>
      <c r="B351" s="36"/>
      <c r="C351" s="37"/>
      <c r="D351" s="51"/>
      <c r="E351" s="41"/>
      <c r="F351" s="41"/>
      <c r="G351" s="41"/>
      <c r="H351" s="41"/>
    </row>
    <row r="352">
      <c r="A352" s="6"/>
      <c r="B352" s="34"/>
      <c r="C352" s="35"/>
      <c r="D352" s="50"/>
      <c r="E352" s="31"/>
      <c r="F352" s="31"/>
      <c r="G352" s="31"/>
      <c r="H352" s="31"/>
    </row>
    <row r="353">
      <c r="A353" s="11"/>
      <c r="B353" s="36"/>
      <c r="C353" s="37"/>
      <c r="D353" s="51"/>
      <c r="E353" s="41"/>
      <c r="F353" s="41"/>
      <c r="G353" s="41"/>
      <c r="H353" s="41"/>
    </row>
    <row r="354">
      <c r="A354" s="6"/>
      <c r="B354" s="34"/>
      <c r="C354" s="35"/>
      <c r="D354" s="50"/>
      <c r="E354" s="31"/>
      <c r="F354" s="31"/>
      <c r="G354" s="31"/>
      <c r="H354" s="31"/>
    </row>
    <row r="355">
      <c r="A355" s="11"/>
      <c r="B355" s="36"/>
      <c r="C355" s="37"/>
      <c r="D355" s="51"/>
      <c r="E355" s="41"/>
      <c r="F355" s="41"/>
      <c r="G355" s="41"/>
      <c r="H355" s="41"/>
    </row>
    <row r="356">
      <c r="A356" s="6"/>
      <c r="B356" s="34"/>
      <c r="C356" s="35"/>
      <c r="D356" s="50"/>
      <c r="E356" s="31"/>
      <c r="F356" s="31"/>
      <c r="G356" s="31"/>
      <c r="H356" s="31"/>
    </row>
    <row r="357">
      <c r="A357" s="11"/>
      <c r="B357" s="36"/>
      <c r="C357" s="37"/>
      <c r="D357" s="51"/>
      <c r="E357" s="41"/>
      <c r="F357" s="41"/>
      <c r="G357" s="41"/>
      <c r="H357" s="41"/>
    </row>
    <row r="358">
      <c r="A358" s="6"/>
      <c r="B358" s="34"/>
      <c r="C358" s="35"/>
      <c r="D358" s="50"/>
      <c r="E358" s="31"/>
      <c r="F358" s="31"/>
      <c r="G358" s="31"/>
      <c r="H358" s="31"/>
    </row>
    <row r="359">
      <c r="A359" s="11"/>
      <c r="B359" s="36"/>
      <c r="C359" s="37"/>
      <c r="D359" s="51"/>
      <c r="E359" s="41"/>
      <c r="F359" s="41"/>
      <c r="G359" s="41"/>
      <c r="H359" s="41"/>
    </row>
    <row r="360">
      <c r="A360" s="6"/>
      <c r="B360" s="34"/>
      <c r="C360" s="35"/>
      <c r="D360" s="50"/>
      <c r="E360" s="31"/>
      <c r="F360" s="31"/>
      <c r="G360" s="31"/>
      <c r="H360" s="31"/>
    </row>
    <row r="361">
      <c r="A361" s="11"/>
      <c r="B361" s="36"/>
      <c r="C361" s="37"/>
      <c r="D361" s="51"/>
      <c r="E361" s="41"/>
      <c r="F361" s="41"/>
      <c r="G361" s="41"/>
      <c r="H361" s="41"/>
    </row>
    <row r="362">
      <c r="A362" s="6"/>
      <c r="B362" s="34"/>
      <c r="C362" s="35"/>
      <c r="D362" s="50"/>
      <c r="E362" s="31"/>
      <c r="F362" s="31"/>
      <c r="G362" s="31"/>
      <c r="H362" s="31"/>
    </row>
    <row r="363">
      <c r="A363" s="11"/>
      <c r="B363" s="36"/>
      <c r="C363" s="37"/>
      <c r="D363" s="51"/>
      <c r="E363" s="41"/>
      <c r="F363" s="41"/>
      <c r="G363" s="41"/>
      <c r="H363" s="41"/>
    </row>
    <row r="364">
      <c r="A364" s="6"/>
      <c r="B364" s="34"/>
      <c r="C364" s="35"/>
      <c r="D364" s="50"/>
      <c r="E364" s="31"/>
      <c r="F364" s="31"/>
      <c r="G364" s="31"/>
      <c r="H364" s="31"/>
    </row>
    <row r="365">
      <c r="A365" s="11"/>
      <c r="B365" s="36"/>
      <c r="C365" s="37"/>
      <c r="D365" s="51"/>
      <c r="E365" s="41"/>
      <c r="F365" s="41"/>
      <c r="G365" s="41"/>
      <c r="H365" s="41"/>
    </row>
    <row r="366">
      <c r="A366" s="6"/>
      <c r="B366" s="34"/>
      <c r="C366" s="35"/>
      <c r="D366" s="50"/>
      <c r="E366" s="31"/>
      <c r="F366" s="31"/>
      <c r="G366" s="31"/>
      <c r="H366" s="31"/>
    </row>
    <row r="367">
      <c r="A367" s="11"/>
      <c r="B367" s="36"/>
      <c r="C367" s="37"/>
      <c r="D367" s="51"/>
      <c r="E367" s="41"/>
      <c r="F367" s="41"/>
      <c r="G367" s="41"/>
      <c r="H367" s="41"/>
    </row>
    <row r="368">
      <c r="A368" s="6"/>
      <c r="B368" s="34"/>
      <c r="C368" s="35"/>
      <c r="D368" s="50"/>
      <c r="E368" s="31"/>
      <c r="F368" s="31"/>
      <c r="G368" s="31"/>
      <c r="H368" s="31"/>
    </row>
    <row r="369">
      <c r="A369" s="11"/>
      <c r="B369" s="36"/>
      <c r="C369" s="37"/>
      <c r="D369" s="51"/>
      <c r="E369" s="41"/>
      <c r="F369" s="41"/>
      <c r="G369" s="41"/>
      <c r="H369" s="41"/>
    </row>
    <row r="370">
      <c r="A370" s="6"/>
      <c r="B370" s="34"/>
      <c r="C370" s="35"/>
      <c r="D370" s="50"/>
      <c r="E370" s="31"/>
      <c r="F370" s="31"/>
      <c r="G370" s="31"/>
      <c r="H370" s="31"/>
    </row>
    <row r="371">
      <c r="A371" s="11"/>
      <c r="B371" s="36"/>
      <c r="C371" s="37"/>
      <c r="D371" s="51"/>
      <c r="E371" s="41"/>
      <c r="F371" s="41"/>
      <c r="G371" s="41"/>
      <c r="H371" s="41"/>
    </row>
    <row r="372">
      <c r="A372" s="6"/>
      <c r="B372" s="34"/>
      <c r="C372" s="35"/>
      <c r="D372" s="50"/>
      <c r="E372" s="31"/>
      <c r="F372" s="31"/>
      <c r="G372" s="31"/>
      <c r="H372" s="31"/>
    </row>
    <row r="373">
      <c r="A373" s="11"/>
      <c r="B373" s="36"/>
      <c r="C373" s="37"/>
      <c r="D373" s="51"/>
      <c r="E373" s="41"/>
      <c r="F373" s="41"/>
      <c r="G373" s="41"/>
      <c r="H373" s="41"/>
    </row>
    <row r="374">
      <c r="A374" s="6"/>
      <c r="B374" s="34"/>
      <c r="C374" s="35"/>
      <c r="D374" s="50"/>
      <c r="E374" s="31"/>
      <c r="F374" s="31"/>
      <c r="G374" s="31"/>
      <c r="H374" s="31"/>
    </row>
    <row r="375">
      <c r="A375" s="11"/>
      <c r="B375" s="36"/>
      <c r="C375" s="37"/>
      <c r="D375" s="51"/>
      <c r="E375" s="41"/>
      <c r="F375" s="41"/>
      <c r="G375" s="41"/>
      <c r="H375" s="41"/>
    </row>
    <row r="376">
      <c r="A376" s="6"/>
      <c r="B376" s="34"/>
      <c r="C376" s="35"/>
      <c r="D376" s="50"/>
      <c r="E376" s="31"/>
      <c r="F376" s="31"/>
      <c r="G376" s="31"/>
      <c r="H376" s="31"/>
    </row>
    <row r="377">
      <c r="A377" s="11"/>
      <c r="B377" s="36"/>
      <c r="C377" s="37"/>
      <c r="D377" s="51"/>
      <c r="E377" s="41"/>
      <c r="F377" s="41"/>
      <c r="G377" s="41"/>
      <c r="H377" s="41"/>
    </row>
    <row r="378">
      <c r="A378" s="6"/>
      <c r="B378" s="34"/>
      <c r="C378" s="35"/>
      <c r="D378" s="50"/>
      <c r="E378" s="31"/>
      <c r="F378" s="31"/>
      <c r="G378" s="31"/>
      <c r="H378" s="31"/>
    </row>
    <row r="379">
      <c r="A379" s="11"/>
      <c r="B379" s="36"/>
      <c r="C379" s="37"/>
      <c r="D379" s="51"/>
      <c r="E379" s="41"/>
      <c r="F379" s="41"/>
      <c r="G379" s="41"/>
      <c r="H379" s="41"/>
    </row>
    <row r="380">
      <c r="A380" s="6"/>
      <c r="B380" s="34"/>
      <c r="C380" s="35"/>
      <c r="D380" s="50"/>
      <c r="E380" s="31"/>
      <c r="F380" s="31"/>
      <c r="G380" s="31"/>
      <c r="H380" s="31"/>
    </row>
    <row r="381">
      <c r="A381" s="11"/>
      <c r="B381" s="36"/>
      <c r="C381" s="37"/>
      <c r="D381" s="51"/>
      <c r="E381" s="41"/>
      <c r="F381" s="41"/>
      <c r="G381" s="41"/>
      <c r="H381" s="41"/>
    </row>
    <row r="382">
      <c r="A382" s="6"/>
      <c r="B382" s="34"/>
      <c r="C382" s="35"/>
      <c r="D382" s="50"/>
      <c r="E382" s="31"/>
      <c r="F382" s="31"/>
      <c r="G382" s="31"/>
      <c r="H382" s="31"/>
    </row>
    <row r="383">
      <c r="A383" s="11"/>
      <c r="B383" s="36"/>
      <c r="C383" s="37"/>
      <c r="D383" s="51"/>
      <c r="E383" s="41"/>
      <c r="F383" s="41"/>
      <c r="G383" s="41"/>
      <c r="H383" s="41"/>
    </row>
    <row r="384">
      <c r="A384" s="6"/>
      <c r="B384" s="34"/>
      <c r="C384" s="35"/>
      <c r="D384" s="50"/>
      <c r="E384" s="31"/>
      <c r="F384" s="31"/>
      <c r="G384" s="31"/>
      <c r="H384" s="31"/>
    </row>
    <row r="385">
      <c r="A385" s="11"/>
      <c r="B385" s="36"/>
      <c r="C385" s="37"/>
      <c r="D385" s="51"/>
      <c r="E385" s="41"/>
      <c r="F385" s="41"/>
      <c r="G385" s="41"/>
      <c r="H385" s="41"/>
    </row>
    <row r="386">
      <c r="A386" s="6"/>
      <c r="B386" s="34"/>
      <c r="C386" s="35"/>
      <c r="D386" s="50"/>
      <c r="E386" s="31"/>
      <c r="F386" s="31"/>
      <c r="G386" s="31"/>
      <c r="H386" s="31"/>
    </row>
    <row r="387">
      <c r="A387" s="11"/>
      <c r="B387" s="36"/>
      <c r="C387" s="37"/>
      <c r="D387" s="51"/>
      <c r="E387" s="41"/>
      <c r="F387" s="41"/>
      <c r="G387" s="41"/>
      <c r="H387" s="41"/>
    </row>
    <row r="388">
      <c r="A388" s="6"/>
      <c r="B388" s="34"/>
      <c r="C388" s="35"/>
      <c r="D388" s="50"/>
      <c r="E388" s="31"/>
      <c r="F388" s="31"/>
      <c r="G388" s="31"/>
      <c r="H388" s="31"/>
    </row>
    <row r="389">
      <c r="A389" s="11"/>
      <c r="B389" s="36"/>
      <c r="C389" s="37"/>
      <c r="D389" s="51"/>
      <c r="E389" s="41"/>
      <c r="F389" s="41"/>
      <c r="G389" s="41"/>
      <c r="H389" s="41"/>
    </row>
    <row r="390">
      <c r="A390" s="6"/>
      <c r="B390" s="34"/>
      <c r="C390" s="35"/>
      <c r="D390" s="50"/>
      <c r="E390" s="31"/>
      <c r="F390" s="31"/>
      <c r="G390" s="31"/>
      <c r="H390" s="31"/>
    </row>
    <row r="391">
      <c r="A391" s="11"/>
      <c r="B391" s="36"/>
      <c r="C391" s="37"/>
      <c r="D391" s="51"/>
      <c r="E391" s="41"/>
      <c r="F391" s="41"/>
      <c r="G391" s="41"/>
      <c r="H391" s="41"/>
    </row>
    <row r="392">
      <c r="A392" s="6"/>
      <c r="B392" s="34"/>
      <c r="C392" s="35"/>
      <c r="D392" s="50"/>
      <c r="E392" s="31"/>
      <c r="F392" s="31"/>
      <c r="G392" s="31"/>
      <c r="H392" s="31"/>
    </row>
    <row r="393">
      <c r="A393" s="11"/>
      <c r="B393" s="36"/>
      <c r="C393" s="37"/>
      <c r="D393" s="51"/>
      <c r="E393" s="41"/>
      <c r="F393" s="41"/>
      <c r="G393" s="41"/>
      <c r="H393" s="41"/>
    </row>
    <row r="394">
      <c r="A394" s="6"/>
      <c r="B394" s="34"/>
      <c r="C394" s="35"/>
      <c r="D394" s="50"/>
      <c r="E394" s="31"/>
      <c r="F394" s="31"/>
      <c r="G394" s="31"/>
      <c r="H394" s="31"/>
    </row>
    <row r="395">
      <c r="A395" s="11"/>
      <c r="B395" s="36"/>
      <c r="C395" s="37"/>
      <c r="D395" s="51"/>
      <c r="E395" s="41"/>
      <c r="F395" s="41"/>
      <c r="G395" s="41"/>
      <c r="H395" s="41"/>
    </row>
    <row r="396">
      <c r="A396" s="6"/>
      <c r="B396" s="34"/>
      <c r="C396" s="35"/>
      <c r="D396" s="50"/>
      <c r="E396" s="31"/>
      <c r="F396" s="31"/>
      <c r="G396" s="31"/>
      <c r="H396" s="31"/>
    </row>
    <row r="397">
      <c r="A397" s="11"/>
      <c r="B397" s="36"/>
      <c r="C397" s="37"/>
      <c r="D397" s="51"/>
      <c r="E397" s="41"/>
      <c r="F397" s="41"/>
      <c r="G397" s="41"/>
      <c r="H397" s="41"/>
    </row>
    <row r="398">
      <c r="A398" s="6"/>
      <c r="B398" s="34"/>
      <c r="C398" s="35"/>
      <c r="D398" s="50"/>
      <c r="E398" s="31"/>
      <c r="F398" s="31"/>
      <c r="G398" s="31"/>
      <c r="H398" s="31"/>
    </row>
    <row r="399">
      <c r="A399" s="11"/>
      <c r="B399" s="36"/>
      <c r="C399" s="37"/>
      <c r="D399" s="51"/>
      <c r="E399" s="41"/>
      <c r="F399" s="41"/>
      <c r="G399" s="41"/>
      <c r="H399" s="41"/>
    </row>
    <row r="400">
      <c r="A400" s="6"/>
      <c r="B400" s="34"/>
      <c r="C400" s="35"/>
      <c r="D400" s="50"/>
      <c r="E400" s="31"/>
      <c r="F400" s="31"/>
      <c r="G400" s="31"/>
      <c r="H400" s="31"/>
    </row>
    <row r="401">
      <c r="A401" s="11"/>
      <c r="B401" s="36"/>
      <c r="C401" s="37"/>
      <c r="D401" s="51"/>
      <c r="E401" s="41"/>
      <c r="F401" s="41"/>
      <c r="G401" s="41"/>
      <c r="H401" s="41"/>
    </row>
    <row r="402">
      <c r="A402" s="6"/>
      <c r="B402" s="34"/>
      <c r="C402" s="35"/>
      <c r="D402" s="50"/>
      <c r="E402" s="31"/>
      <c r="F402" s="31"/>
      <c r="G402" s="31"/>
      <c r="H402" s="31"/>
    </row>
    <row r="403">
      <c r="A403" s="11"/>
      <c r="B403" s="36"/>
      <c r="C403" s="37"/>
      <c r="D403" s="51"/>
      <c r="E403" s="41"/>
      <c r="F403" s="41"/>
      <c r="G403" s="41"/>
      <c r="H403" s="41"/>
    </row>
    <row r="404">
      <c r="A404" s="6"/>
      <c r="B404" s="34"/>
      <c r="C404" s="35"/>
      <c r="D404" s="50"/>
      <c r="E404" s="31"/>
      <c r="F404" s="31"/>
      <c r="G404" s="31"/>
      <c r="H404" s="31"/>
    </row>
    <row r="405">
      <c r="A405" s="11"/>
      <c r="B405" s="36"/>
      <c r="C405" s="37"/>
      <c r="D405" s="51"/>
      <c r="E405" s="41"/>
      <c r="F405" s="41"/>
      <c r="G405" s="41"/>
      <c r="H405" s="41"/>
    </row>
    <row r="406">
      <c r="A406" s="6"/>
      <c r="B406" s="34"/>
      <c r="C406" s="35"/>
      <c r="D406" s="50"/>
      <c r="E406" s="31"/>
      <c r="F406" s="31"/>
      <c r="G406" s="31"/>
      <c r="H406" s="31"/>
    </row>
    <row r="407">
      <c r="A407" s="11"/>
      <c r="B407" s="36"/>
      <c r="C407" s="37"/>
      <c r="D407" s="51"/>
      <c r="E407" s="41"/>
      <c r="F407" s="41"/>
      <c r="G407" s="41"/>
      <c r="H407" s="41"/>
    </row>
    <row r="408">
      <c r="A408" s="6"/>
      <c r="B408" s="34"/>
      <c r="C408" s="35"/>
      <c r="D408" s="50"/>
      <c r="E408" s="31"/>
      <c r="F408" s="31"/>
      <c r="G408" s="31"/>
      <c r="H408" s="31"/>
    </row>
    <row r="409">
      <c r="A409" s="11"/>
      <c r="B409" s="36"/>
      <c r="C409" s="37"/>
      <c r="D409" s="51"/>
      <c r="E409" s="41"/>
      <c r="F409" s="41"/>
      <c r="G409" s="41"/>
      <c r="H409" s="41"/>
    </row>
    <row r="410">
      <c r="A410" s="6"/>
      <c r="B410" s="34"/>
      <c r="C410" s="35"/>
      <c r="D410" s="50"/>
      <c r="E410" s="31"/>
      <c r="F410" s="31"/>
      <c r="G410" s="31"/>
      <c r="H410" s="31"/>
    </row>
    <row r="411">
      <c r="A411" s="11"/>
      <c r="B411" s="36"/>
      <c r="C411" s="37"/>
      <c r="D411" s="51"/>
      <c r="E411" s="41"/>
      <c r="F411" s="41"/>
      <c r="G411" s="41"/>
      <c r="H411" s="41"/>
    </row>
    <row r="412">
      <c r="A412" s="6"/>
      <c r="B412" s="34"/>
      <c r="C412" s="35"/>
      <c r="D412" s="50"/>
      <c r="E412" s="31"/>
      <c r="F412" s="31"/>
      <c r="G412" s="31"/>
      <c r="H412" s="31"/>
    </row>
    <row r="413">
      <c r="A413" s="11"/>
      <c r="B413" s="36"/>
      <c r="C413" s="37"/>
      <c r="D413" s="51"/>
      <c r="E413" s="41"/>
      <c r="F413" s="41"/>
      <c r="G413" s="41"/>
      <c r="H413" s="41"/>
    </row>
    <row r="414">
      <c r="A414" s="6"/>
      <c r="B414" s="34"/>
      <c r="C414" s="35"/>
      <c r="D414" s="50"/>
      <c r="E414" s="31"/>
      <c r="F414" s="31"/>
      <c r="G414" s="31"/>
      <c r="H414" s="31"/>
    </row>
    <row r="415">
      <c r="A415" s="11"/>
      <c r="B415" s="36"/>
      <c r="C415" s="37"/>
      <c r="D415" s="51"/>
      <c r="E415" s="41"/>
      <c r="F415" s="41"/>
      <c r="G415" s="41"/>
      <c r="H415" s="41"/>
    </row>
    <row r="416">
      <c r="A416" s="6"/>
      <c r="B416" s="34"/>
      <c r="C416" s="35"/>
      <c r="D416" s="50"/>
      <c r="E416" s="31"/>
      <c r="F416" s="31"/>
      <c r="G416" s="31"/>
      <c r="H416" s="31"/>
    </row>
    <row r="417">
      <c r="A417" s="11"/>
      <c r="B417" s="36"/>
      <c r="C417" s="37"/>
      <c r="D417" s="51"/>
      <c r="E417" s="41"/>
      <c r="F417" s="41"/>
      <c r="G417" s="41"/>
      <c r="H417" s="41"/>
    </row>
    <row r="418">
      <c r="A418" s="6"/>
      <c r="B418" s="34"/>
      <c r="C418" s="35"/>
      <c r="D418" s="50"/>
      <c r="E418" s="31"/>
      <c r="F418" s="31"/>
      <c r="G418" s="31"/>
      <c r="H418" s="31"/>
    </row>
    <row r="419">
      <c r="A419" s="11"/>
      <c r="B419" s="36"/>
      <c r="C419" s="37"/>
      <c r="D419" s="51"/>
      <c r="E419" s="41"/>
      <c r="F419" s="41"/>
      <c r="G419" s="41"/>
      <c r="H419" s="41"/>
    </row>
    <row r="420">
      <c r="A420" s="6"/>
      <c r="B420" s="34"/>
      <c r="C420" s="35"/>
      <c r="D420" s="50"/>
      <c r="E420" s="31"/>
      <c r="F420" s="31"/>
      <c r="G420" s="31"/>
      <c r="H420" s="31"/>
    </row>
    <row r="421">
      <c r="A421" s="11"/>
      <c r="B421" s="36"/>
      <c r="C421" s="37"/>
      <c r="D421" s="51"/>
      <c r="E421" s="41"/>
      <c r="F421" s="41"/>
      <c r="G421" s="41"/>
      <c r="H421" s="41"/>
    </row>
    <row r="422">
      <c r="A422" s="6"/>
      <c r="B422" s="34"/>
      <c r="C422" s="35"/>
      <c r="D422" s="50"/>
      <c r="E422" s="31"/>
      <c r="F422" s="31"/>
      <c r="G422" s="31"/>
      <c r="H422" s="31"/>
    </row>
    <row r="423">
      <c r="A423" s="11"/>
      <c r="B423" s="36"/>
      <c r="C423" s="37"/>
      <c r="D423" s="51"/>
      <c r="E423" s="41"/>
      <c r="F423" s="41"/>
      <c r="G423" s="41"/>
      <c r="H423" s="41"/>
    </row>
    <row r="424">
      <c r="A424" s="6"/>
      <c r="B424" s="34"/>
      <c r="C424" s="35"/>
      <c r="D424" s="50"/>
      <c r="E424" s="31"/>
      <c r="F424" s="31"/>
      <c r="G424" s="31"/>
      <c r="H424" s="31"/>
    </row>
    <row r="425">
      <c r="A425" s="11"/>
      <c r="B425" s="36"/>
      <c r="C425" s="37"/>
      <c r="D425" s="51"/>
      <c r="E425" s="41"/>
      <c r="F425" s="41"/>
      <c r="G425" s="41"/>
      <c r="H425" s="41"/>
    </row>
    <row r="426">
      <c r="A426" s="6"/>
      <c r="B426" s="34"/>
      <c r="C426" s="35"/>
      <c r="D426" s="50"/>
      <c r="E426" s="31"/>
      <c r="F426" s="31"/>
      <c r="G426" s="31"/>
      <c r="H426" s="31"/>
    </row>
    <row r="427">
      <c r="A427" s="11"/>
      <c r="B427" s="36"/>
      <c r="C427" s="37"/>
      <c r="D427" s="51"/>
      <c r="E427" s="41"/>
      <c r="F427" s="41"/>
      <c r="G427" s="41"/>
      <c r="H427" s="41"/>
    </row>
    <row r="428">
      <c r="A428" s="6"/>
      <c r="B428" s="34"/>
      <c r="C428" s="35"/>
      <c r="D428" s="50"/>
      <c r="E428" s="31"/>
      <c r="F428" s="31"/>
      <c r="G428" s="31"/>
      <c r="H428" s="31"/>
    </row>
    <row r="429">
      <c r="A429" s="11"/>
      <c r="B429" s="36"/>
      <c r="C429" s="37"/>
      <c r="D429" s="51"/>
      <c r="E429" s="41"/>
      <c r="F429" s="41"/>
      <c r="G429" s="41"/>
      <c r="H429" s="41"/>
    </row>
    <row r="430">
      <c r="A430" s="6"/>
      <c r="B430" s="34"/>
      <c r="C430" s="35"/>
      <c r="D430" s="50"/>
      <c r="E430" s="31"/>
      <c r="F430" s="31"/>
      <c r="G430" s="31"/>
      <c r="H430" s="31"/>
    </row>
    <row r="431">
      <c r="A431" s="11"/>
      <c r="B431" s="36"/>
      <c r="C431" s="37"/>
      <c r="D431" s="51"/>
      <c r="E431" s="41"/>
      <c r="F431" s="41"/>
      <c r="G431" s="41"/>
      <c r="H431" s="41"/>
    </row>
    <row r="432">
      <c r="A432" s="6"/>
      <c r="B432" s="34"/>
      <c r="C432" s="35"/>
      <c r="D432" s="50"/>
      <c r="E432" s="31"/>
      <c r="F432" s="31"/>
      <c r="G432" s="31"/>
      <c r="H432" s="31"/>
    </row>
    <row r="433">
      <c r="A433" s="11"/>
      <c r="B433" s="36"/>
      <c r="C433" s="37"/>
      <c r="D433" s="51"/>
      <c r="E433" s="41"/>
      <c r="F433" s="41"/>
      <c r="G433" s="41"/>
      <c r="H433" s="41"/>
    </row>
    <row r="434">
      <c r="A434" s="6"/>
      <c r="B434" s="34"/>
      <c r="C434" s="35"/>
      <c r="D434" s="50"/>
      <c r="E434" s="31"/>
      <c r="F434" s="31"/>
      <c r="G434" s="31"/>
      <c r="H434" s="31"/>
    </row>
    <row r="435">
      <c r="A435" s="11"/>
      <c r="B435" s="36"/>
      <c r="C435" s="37"/>
      <c r="D435" s="51"/>
      <c r="E435" s="41"/>
      <c r="F435" s="41"/>
      <c r="G435" s="41"/>
      <c r="H435" s="41"/>
    </row>
    <row r="436">
      <c r="A436" s="6"/>
      <c r="B436" s="34"/>
      <c r="C436" s="35"/>
      <c r="D436" s="50"/>
      <c r="E436" s="31"/>
      <c r="F436" s="31"/>
      <c r="G436" s="31"/>
      <c r="H436" s="31"/>
    </row>
    <row r="437">
      <c r="A437" s="11"/>
      <c r="B437" s="36"/>
      <c r="C437" s="37"/>
      <c r="D437" s="51"/>
      <c r="E437" s="41"/>
      <c r="F437" s="41"/>
      <c r="G437" s="41"/>
      <c r="H437" s="41"/>
    </row>
    <row r="438">
      <c r="A438" s="6"/>
      <c r="B438" s="34"/>
      <c r="C438" s="35"/>
      <c r="D438" s="50"/>
      <c r="E438" s="31"/>
      <c r="F438" s="31"/>
      <c r="G438" s="31"/>
      <c r="H438" s="31"/>
    </row>
    <row r="439">
      <c r="A439" s="11"/>
      <c r="B439" s="36"/>
      <c r="C439" s="37"/>
      <c r="D439" s="51"/>
      <c r="E439" s="41"/>
      <c r="F439" s="41"/>
      <c r="G439" s="41"/>
      <c r="H439" s="41"/>
    </row>
    <row r="440">
      <c r="A440" s="6"/>
      <c r="B440" s="34"/>
      <c r="C440" s="35"/>
      <c r="D440" s="50"/>
      <c r="E440" s="31"/>
      <c r="F440" s="31"/>
      <c r="G440" s="31"/>
      <c r="H440" s="31"/>
    </row>
    <row r="441">
      <c r="A441" s="11"/>
      <c r="B441" s="36"/>
      <c r="C441" s="37"/>
      <c r="D441" s="51"/>
      <c r="E441" s="41"/>
      <c r="F441" s="41"/>
      <c r="G441" s="41"/>
      <c r="H441" s="41"/>
    </row>
    <row r="442">
      <c r="A442" s="6"/>
      <c r="B442" s="34"/>
      <c r="C442" s="35"/>
      <c r="D442" s="50"/>
      <c r="E442" s="31"/>
      <c r="F442" s="31"/>
      <c r="G442" s="31"/>
      <c r="H442" s="31"/>
    </row>
    <row r="443">
      <c r="A443" s="11"/>
      <c r="B443" s="36"/>
      <c r="C443" s="37"/>
      <c r="D443" s="51"/>
      <c r="E443" s="41"/>
      <c r="F443" s="41"/>
      <c r="G443" s="41"/>
      <c r="H443" s="41"/>
    </row>
    <row r="444">
      <c r="A444" s="6"/>
      <c r="B444" s="34"/>
      <c r="C444" s="35"/>
      <c r="D444" s="50"/>
      <c r="E444" s="31"/>
      <c r="F444" s="31"/>
      <c r="G444" s="31"/>
      <c r="H444" s="31"/>
    </row>
    <row r="445">
      <c r="A445" s="11"/>
      <c r="B445" s="36"/>
      <c r="C445" s="37"/>
      <c r="D445" s="51"/>
      <c r="E445" s="41"/>
      <c r="F445" s="41"/>
      <c r="G445" s="41"/>
      <c r="H445" s="41"/>
    </row>
    <row r="446">
      <c r="A446" s="6"/>
      <c r="B446" s="34"/>
      <c r="C446" s="35"/>
      <c r="D446" s="50"/>
      <c r="E446" s="31"/>
      <c r="F446" s="31"/>
      <c r="G446" s="31"/>
      <c r="H446" s="31"/>
    </row>
    <row r="447">
      <c r="A447" s="11"/>
      <c r="B447" s="36"/>
      <c r="C447" s="37"/>
      <c r="D447" s="51"/>
      <c r="E447" s="41"/>
      <c r="F447" s="41"/>
      <c r="G447" s="41"/>
      <c r="H447" s="41"/>
    </row>
    <row r="448">
      <c r="A448" s="6"/>
      <c r="B448" s="34"/>
      <c r="C448" s="35"/>
      <c r="D448" s="50"/>
      <c r="E448" s="31"/>
      <c r="F448" s="31"/>
      <c r="G448" s="31"/>
      <c r="H448" s="31"/>
    </row>
    <row r="449">
      <c r="A449" s="11"/>
      <c r="B449" s="36"/>
      <c r="C449" s="37"/>
      <c r="D449" s="51"/>
      <c r="E449" s="41"/>
      <c r="F449" s="41"/>
      <c r="G449" s="41"/>
      <c r="H449" s="41"/>
    </row>
    <row r="450">
      <c r="A450" s="6"/>
      <c r="B450" s="34"/>
      <c r="C450" s="35"/>
      <c r="D450" s="50"/>
      <c r="E450" s="31"/>
      <c r="F450" s="31"/>
      <c r="G450" s="31"/>
      <c r="H450" s="31"/>
    </row>
    <row r="451">
      <c r="A451" s="11"/>
      <c r="B451" s="36"/>
      <c r="C451" s="37"/>
      <c r="D451" s="51"/>
      <c r="E451" s="41"/>
      <c r="F451" s="41"/>
      <c r="G451" s="41"/>
      <c r="H451" s="41"/>
    </row>
    <row r="452">
      <c r="A452" s="6"/>
      <c r="B452" s="34"/>
      <c r="C452" s="35"/>
      <c r="D452" s="50"/>
      <c r="E452" s="31"/>
      <c r="F452" s="31"/>
      <c r="G452" s="31"/>
      <c r="H452" s="31"/>
    </row>
    <row r="453">
      <c r="A453" s="11"/>
      <c r="B453" s="36"/>
      <c r="C453" s="37"/>
      <c r="D453" s="51"/>
      <c r="E453" s="41"/>
      <c r="F453" s="41"/>
      <c r="G453" s="41"/>
      <c r="H453" s="41"/>
    </row>
    <row r="454">
      <c r="A454" s="6"/>
      <c r="B454" s="34"/>
      <c r="C454" s="35"/>
      <c r="D454" s="50"/>
      <c r="E454" s="31"/>
      <c r="F454" s="31"/>
      <c r="G454" s="31"/>
      <c r="H454" s="31"/>
    </row>
    <row r="455">
      <c r="A455" s="11"/>
      <c r="B455" s="36"/>
      <c r="C455" s="37"/>
      <c r="D455" s="51"/>
      <c r="E455" s="41"/>
      <c r="F455" s="41"/>
      <c r="G455" s="41"/>
      <c r="H455" s="41"/>
    </row>
    <row r="456">
      <c r="A456" s="6"/>
      <c r="B456" s="34"/>
      <c r="C456" s="35"/>
      <c r="D456" s="50"/>
      <c r="E456" s="31"/>
      <c r="F456" s="31"/>
      <c r="G456" s="31"/>
      <c r="H456" s="31"/>
    </row>
    <row r="457">
      <c r="A457" s="11"/>
      <c r="B457" s="36"/>
      <c r="C457" s="37"/>
      <c r="D457" s="51"/>
      <c r="E457" s="41"/>
      <c r="F457" s="41"/>
      <c r="G457" s="41"/>
      <c r="H457" s="41"/>
    </row>
    <row r="458">
      <c r="A458" s="6"/>
      <c r="B458" s="34"/>
      <c r="C458" s="35"/>
      <c r="D458" s="50"/>
      <c r="E458" s="31"/>
      <c r="F458" s="31"/>
      <c r="G458" s="31"/>
      <c r="H458" s="31"/>
    </row>
    <row r="459">
      <c r="A459" s="11"/>
      <c r="B459" s="36"/>
      <c r="C459" s="37"/>
      <c r="D459" s="51"/>
      <c r="E459" s="41"/>
      <c r="F459" s="41"/>
      <c r="G459" s="41"/>
      <c r="H459" s="41"/>
    </row>
    <row r="460">
      <c r="A460" s="6"/>
      <c r="B460" s="34"/>
      <c r="C460" s="35"/>
      <c r="D460" s="50"/>
      <c r="E460" s="31"/>
      <c r="F460" s="31"/>
      <c r="G460" s="31"/>
      <c r="H460" s="31"/>
    </row>
    <row r="461">
      <c r="A461" s="11"/>
      <c r="B461" s="36"/>
      <c r="C461" s="37"/>
      <c r="D461" s="51"/>
      <c r="E461" s="41"/>
      <c r="F461" s="41"/>
      <c r="G461" s="41"/>
      <c r="H461" s="41"/>
    </row>
    <row r="462">
      <c r="A462" s="6"/>
      <c r="B462" s="34"/>
      <c r="C462" s="35"/>
      <c r="D462" s="50"/>
      <c r="E462" s="31"/>
      <c r="F462" s="31"/>
      <c r="G462" s="31"/>
      <c r="H462" s="31"/>
    </row>
    <row r="463">
      <c r="A463" s="11"/>
      <c r="B463" s="36"/>
      <c r="C463" s="37"/>
      <c r="D463" s="51"/>
      <c r="E463" s="41"/>
      <c r="F463" s="41"/>
      <c r="G463" s="41"/>
      <c r="H463" s="41"/>
    </row>
    <row r="464">
      <c r="A464" s="6"/>
      <c r="B464" s="34"/>
      <c r="C464" s="35"/>
      <c r="D464" s="50"/>
      <c r="E464" s="31"/>
      <c r="F464" s="31"/>
      <c r="G464" s="31"/>
      <c r="H464" s="31"/>
    </row>
    <row r="465">
      <c r="A465" s="11"/>
      <c r="B465" s="36"/>
      <c r="C465" s="37"/>
      <c r="D465" s="51"/>
      <c r="E465" s="41"/>
      <c r="F465" s="41"/>
      <c r="G465" s="41"/>
      <c r="H465" s="41"/>
    </row>
    <row r="466">
      <c r="A466" s="6"/>
      <c r="B466" s="34"/>
      <c r="C466" s="35"/>
      <c r="D466" s="50"/>
      <c r="E466" s="31"/>
      <c r="F466" s="31"/>
      <c r="G466" s="31"/>
      <c r="H466" s="31"/>
    </row>
    <row r="467">
      <c r="A467" s="11"/>
      <c r="B467" s="36"/>
      <c r="C467" s="37"/>
      <c r="D467" s="51"/>
      <c r="E467" s="41"/>
      <c r="F467" s="41"/>
      <c r="G467" s="41"/>
      <c r="H467" s="41"/>
    </row>
    <row r="468">
      <c r="A468" s="6"/>
      <c r="B468" s="34"/>
      <c r="C468" s="35"/>
      <c r="D468" s="50"/>
      <c r="E468" s="31"/>
      <c r="F468" s="31"/>
      <c r="G468" s="31"/>
      <c r="H468" s="31"/>
    </row>
    <row r="469">
      <c r="A469" s="11"/>
      <c r="B469" s="36"/>
      <c r="C469" s="37"/>
      <c r="D469" s="51"/>
      <c r="E469" s="41"/>
      <c r="F469" s="41"/>
      <c r="G469" s="41"/>
      <c r="H469" s="41"/>
    </row>
    <row r="470">
      <c r="A470" s="6"/>
      <c r="B470" s="34"/>
      <c r="C470" s="35"/>
      <c r="D470" s="50"/>
      <c r="E470" s="31"/>
      <c r="F470" s="31"/>
      <c r="G470" s="31"/>
      <c r="H470" s="31"/>
    </row>
    <row r="471">
      <c r="A471" s="11"/>
      <c r="B471" s="36"/>
      <c r="C471" s="37"/>
      <c r="D471" s="51"/>
      <c r="E471" s="41"/>
      <c r="F471" s="41"/>
      <c r="G471" s="41"/>
      <c r="H471" s="41"/>
    </row>
    <row r="472">
      <c r="A472" s="6"/>
      <c r="B472" s="34"/>
      <c r="C472" s="35"/>
      <c r="D472" s="50"/>
      <c r="E472" s="31"/>
      <c r="F472" s="31"/>
      <c r="G472" s="31"/>
      <c r="H472" s="31"/>
    </row>
    <row r="473">
      <c r="A473" s="11"/>
      <c r="B473" s="36"/>
      <c r="C473" s="37"/>
      <c r="D473" s="51"/>
      <c r="E473" s="41"/>
      <c r="F473" s="41"/>
      <c r="G473" s="41"/>
      <c r="H473" s="41"/>
    </row>
    <row r="474">
      <c r="A474" s="6"/>
      <c r="B474" s="34"/>
      <c r="C474" s="35"/>
      <c r="D474" s="50"/>
      <c r="E474" s="31"/>
      <c r="F474" s="31"/>
      <c r="G474" s="31"/>
      <c r="H474" s="31"/>
    </row>
    <row r="475">
      <c r="A475" s="11"/>
      <c r="B475" s="36"/>
      <c r="C475" s="37"/>
      <c r="D475" s="51"/>
      <c r="E475" s="41"/>
      <c r="F475" s="41"/>
      <c r="G475" s="41"/>
      <c r="H475" s="41"/>
    </row>
    <row r="476">
      <c r="A476" s="6"/>
      <c r="B476" s="34"/>
      <c r="C476" s="35"/>
      <c r="D476" s="50"/>
      <c r="E476" s="31"/>
      <c r="F476" s="31"/>
      <c r="G476" s="31"/>
      <c r="H476" s="31"/>
    </row>
    <row r="477">
      <c r="A477" s="11"/>
      <c r="B477" s="36"/>
      <c r="C477" s="37"/>
      <c r="D477" s="51"/>
      <c r="E477" s="41"/>
      <c r="F477" s="41"/>
      <c r="G477" s="41"/>
      <c r="H477" s="41"/>
    </row>
    <row r="478">
      <c r="A478" s="6"/>
      <c r="B478" s="34"/>
      <c r="C478" s="35"/>
      <c r="D478" s="50"/>
      <c r="E478" s="31"/>
      <c r="F478" s="31"/>
      <c r="G478" s="31"/>
      <c r="H478" s="31"/>
    </row>
    <row r="479">
      <c r="A479" s="11"/>
      <c r="B479" s="36"/>
      <c r="C479" s="37"/>
      <c r="D479" s="51"/>
      <c r="E479" s="41"/>
      <c r="F479" s="41"/>
      <c r="G479" s="41"/>
      <c r="H479" s="41"/>
    </row>
    <row r="480">
      <c r="A480" s="6"/>
      <c r="B480" s="34"/>
      <c r="C480" s="35"/>
      <c r="D480" s="50"/>
      <c r="E480" s="31"/>
      <c r="F480" s="31"/>
      <c r="G480" s="31"/>
      <c r="H480" s="31"/>
    </row>
    <row r="481">
      <c r="A481" s="11"/>
      <c r="B481" s="36"/>
      <c r="C481" s="37"/>
      <c r="D481" s="51"/>
      <c r="E481" s="41"/>
      <c r="F481" s="41"/>
      <c r="G481" s="41"/>
      <c r="H481" s="41"/>
    </row>
    <row r="482">
      <c r="A482" s="6"/>
      <c r="B482" s="34"/>
      <c r="C482" s="35"/>
      <c r="D482" s="50"/>
      <c r="E482" s="31"/>
      <c r="F482" s="31"/>
      <c r="G482" s="31"/>
      <c r="H482" s="31"/>
    </row>
    <row r="483">
      <c r="A483" s="11"/>
      <c r="B483" s="36"/>
      <c r="C483" s="37"/>
      <c r="D483" s="51"/>
      <c r="E483" s="41"/>
      <c r="F483" s="41"/>
      <c r="G483" s="41"/>
      <c r="H483" s="41"/>
    </row>
    <row r="484">
      <c r="A484" s="6"/>
      <c r="B484" s="34"/>
      <c r="C484" s="35"/>
      <c r="D484" s="50"/>
      <c r="E484" s="31"/>
      <c r="F484" s="31"/>
      <c r="G484" s="31"/>
      <c r="H484" s="31"/>
    </row>
    <row r="485">
      <c r="A485" s="11"/>
      <c r="B485" s="36"/>
      <c r="C485" s="37"/>
      <c r="D485" s="51"/>
      <c r="E485" s="41"/>
      <c r="F485" s="41"/>
      <c r="G485" s="41"/>
      <c r="H485" s="41"/>
    </row>
    <row r="486">
      <c r="A486" s="6"/>
      <c r="B486" s="34"/>
      <c r="C486" s="35"/>
      <c r="D486" s="50"/>
      <c r="E486" s="31"/>
      <c r="F486" s="31"/>
      <c r="G486" s="31"/>
      <c r="H486" s="31"/>
    </row>
    <row r="487">
      <c r="A487" s="11"/>
      <c r="B487" s="36"/>
      <c r="C487" s="37"/>
      <c r="D487" s="51"/>
      <c r="E487" s="41"/>
      <c r="F487" s="41"/>
      <c r="G487" s="41"/>
      <c r="H487" s="41"/>
    </row>
    <row r="488">
      <c r="A488" s="6"/>
      <c r="B488" s="34"/>
      <c r="C488" s="35"/>
      <c r="D488" s="50"/>
      <c r="E488" s="31"/>
      <c r="F488" s="31"/>
      <c r="G488" s="31"/>
      <c r="H488" s="31"/>
    </row>
    <row r="489">
      <c r="A489" s="11"/>
      <c r="B489" s="36"/>
      <c r="C489" s="37"/>
      <c r="D489" s="51"/>
      <c r="E489" s="41"/>
      <c r="F489" s="41"/>
      <c r="G489" s="41"/>
      <c r="H489" s="41"/>
    </row>
    <row r="490">
      <c r="A490" s="6"/>
      <c r="B490" s="34"/>
      <c r="C490" s="35"/>
      <c r="D490" s="50"/>
      <c r="E490" s="31"/>
      <c r="F490" s="31"/>
      <c r="G490" s="31"/>
      <c r="H490" s="31"/>
    </row>
    <row r="491">
      <c r="A491" s="11"/>
      <c r="B491" s="36"/>
      <c r="C491" s="37"/>
      <c r="D491" s="51"/>
      <c r="E491" s="41"/>
      <c r="F491" s="41"/>
      <c r="G491" s="41"/>
      <c r="H491" s="41"/>
    </row>
    <row r="492">
      <c r="A492" s="6"/>
      <c r="B492" s="34"/>
      <c r="C492" s="35"/>
      <c r="D492" s="50"/>
      <c r="E492" s="31"/>
      <c r="F492" s="31"/>
      <c r="G492" s="31"/>
      <c r="H492" s="31"/>
    </row>
    <row r="493">
      <c r="A493" s="11"/>
      <c r="B493" s="36"/>
      <c r="C493" s="37"/>
      <c r="D493" s="51"/>
      <c r="E493" s="41"/>
      <c r="F493" s="41"/>
      <c r="G493" s="41"/>
      <c r="H493" s="41"/>
    </row>
    <row r="494">
      <c r="A494" s="6"/>
      <c r="B494" s="34"/>
      <c r="C494" s="35"/>
      <c r="D494" s="50"/>
      <c r="E494" s="31"/>
      <c r="F494" s="31"/>
      <c r="G494" s="31"/>
      <c r="H494" s="31"/>
    </row>
    <row r="495">
      <c r="A495" s="11"/>
      <c r="B495" s="36"/>
      <c r="C495" s="37"/>
      <c r="D495" s="51"/>
      <c r="E495" s="41"/>
      <c r="F495" s="41"/>
      <c r="G495" s="41"/>
      <c r="H495" s="41"/>
    </row>
    <row r="496">
      <c r="A496" s="6"/>
      <c r="B496" s="34"/>
      <c r="C496" s="35"/>
      <c r="D496" s="50"/>
      <c r="E496" s="31"/>
      <c r="F496" s="31"/>
      <c r="G496" s="31"/>
      <c r="H496" s="31"/>
    </row>
    <row r="497">
      <c r="A497" s="11"/>
      <c r="B497" s="36"/>
      <c r="C497" s="37"/>
      <c r="D497" s="51"/>
      <c r="E497" s="41"/>
      <c r="F497" s="41"/>
      <c r="G497" s="41"/>
      <c r="H497" s="41"/>
    </row>
    <row r="498">
      <c r="A498" s="6"/>
      <c r="B498" s="34"/>
      <c r="C498" s="35"/>
      <c r="D498" s="50"/>
      <c r="E498" s="31"/>
      <c r="F498" s="31"/>
      <c r="G498" s="31"/>
      <c r="H498" s="31"/>
    </row>
    <row r="499">
      <c r="A499" s="11"/>
      <c r="B499" s="36"/>
      <c r="C499" s="37"/>
      <c r="D499" s="51"/>
      <c r="E499" s="41"/>
      <c r="F499" s="41"/>
      <c r="G499" s="41"/>
      <c r="H499" s="41"/>
    </row>
    <row r="500">
      <c r="A500" s="6"/>
      <c r="B500" s="34"/>
      <c r="C500" s="35"/>
      <c r="D500" s="50"/>
      <c r="E500" s="31"/>
      <c r="F500" s="31"/>
      <c r="G500" s="31"/>
      <c r="H500" s="31"/>
    </row>
    <row r="501">
      <c r="A501" s="11"/>
      <c r="B501" s="36"/>
      <c r="C501" s="37"/>
      <c r="D501" s="51"/>
      <c r="E501" s="41"/>
      <c r="F501" s="41"/>
      <c r="G501" s="41"/>
      <c r="H501" s="41"/>
    </row>
    <row r="502">
      <c r="A502" s="6"/>
      <c r="B502" s="34"/>
      <c r="C502" s="35"/>
      <c r="D502" s="50"/>
      <c r="E502" s="31"/>
      <c r="F502" s="31"/>
      <c r="G502" s="31"/>
      <c r="H502" s="31"/>
    </row>
    <row r="503">
      <c r="A503" s="11"/>
      <c r="B503" s="36"/>
      <c r="C503" s="37"/>
      <c r="D503" s="51"/>
      <c r="E503" s="41"/>
      <c r="F503" s="41"/>
      <c r="G503" s="41"/>
      <c r="H503" s="41"/>
    </row>
    <row r="504">
      <c r="A504" s="6"/>
      <c r="B504" s="34"/>
      <c r="C504" s="35"/>
      <c r="D504" s="50"/>
      <c r="E504" s="31"/>
      <c r="F504" s="31"/>
      <c r="G504" s="31"/>
      <c r="H504" s="31"/>
    </row>
    <row r="505">
      <c r="A505" s="11"/>
      <c r="B505" s="36"/>
      <c r="C505" s="37"/>
      <c r="D505" s="51"/>
      <c r="E505" s="41"/>
      <c r="F505" s="41"/>
      <c r="G505" s="41"/>
      <c r="H505" s="41"/>
    </row>
    <row r="506">
      <c r="A506" s="6"/>
      <c r="B506" s="34"/>
      <c r="C506" s="35"/>
      <c r="D506" s="50"/>
      <c r="E506" s="31"/>
      <c r="F506" s="31"/>
      <c r="G506" s="31"/>
      <c r="H506" s="31"/>
    </row>
    <row r="507">
      <c r="A507" s="11"/>
      <c r="B507" s="36"/>
      <c r="C507" s="37"/>
      <c r="D507" s="51"/>
      <c r="E507" s="41"/>
      <c r="F507" s="41"/>
      <c r="G507" s="41"/>
      <c r="H507" s="41"/>
    </row>
    <row r="508">
      <c r="A508" s="6"/>
      <c r="B508" s="34"/>
      <c r="C508" s="35"/>
      <c r="D508" s="50"/>
      <c r="E508" s="31"/>
      <c r="F508" s="31"/>
      <c r="G508" s="31"/>
      <c r="H508" s="31"/>
    </row>
    <row r="509">
      <c r="A509" s="11"/>
      <c r="B509" s="36"/>
      <c r="C509" s="37"/>
      <c r="D509" s="51"/>
      <c r="E509" s="41"/>
      <c r="F509" s="41"/>
      <c r="G509" s="41"/>
      <c r="H509" s="41"/>
    </row>
    <row r="510">
      <c r="A510" s="6"/>
      <c r="B510" s="34"/>
      <c r="C510" s="35"/>
      <c r="D510" s="50"/>
      <c r="E510" s="31"/>
      <c r="F510" s="31"/>
      <c r="G510" s="31"/>
      <c r="H510" s="31"/>
    </row>
    <row r="511">
      <c r="A511" s="11"/>
      <c r="B511" s="36"/>
      <c r="C511" s="37"/>
      <c r="D511" s="51"/>
      <c r="E511" s="41"/>
      <c r="F511" s="41"/>
      <c r="G511" s="41"/>
      <c r="H511" s="41"/>
    </row>
    <row r="512">
      <c r="A512" s="6"/>
      <c r="B512" s="34"/>
      <c r="C512" s="35"/>
      <c r="D512" s="50"/>
      <c r="E512" s="31"/>
      <c r="F512" s="31"/>
      <c r="G512" s="31"/>
      <c r="H512" s="31"/>
    </row>
    <row r="513">
      <c r="A513" s="11"/>
      <c r="B513" s="36"/>
      <c r="C513" s="37"/>
      <c r="D513" s="51"/>
      <c r="E513" s="41"/>
      <c r="F513" s="41"/>
      <c r="G513" s="41"/>
      <c r="H513" s="41"/>
    </row>
    <row r="514">
      <c r="A514" s="6"/>
      <c r="B514" s="34"/>
      <c r="C514" s="35"/>
      <c r="D514" s="50"/>
      <c r="E514" s="31"/>
      <c r="F514" s="31"/>
      <c r="G514" s="31"/>
      <c r="H514" s="31"/>
    </row>
    <row r="515">
      <c r="A515" s="11"/>
      <c r="B515" s="36"/>
      <c r="C515" s="37"/>
      <c r="D515" s="51"/>
      <c r="E515" s="41"/>
      <c r="F515" s="41"/>
      <c r="G515" s="41"/>
      <c r="H515" s="41"/>
    </row>
    <row r="516">
      <c r="A516" s="6"/>
      <c r="B516" s="34"/>
      <c r="C516" s="35"/>
      <c r="D516" s="50"/>
      <c r="E516" s="31"/>
      <c r="F516" s="31"/>
      <c r="G516" s="31"/>
      <c r="H516" s="31"/>
    </row>
    <row r="517">
      <c r="A517" s="11"/>
      <c r="B517" s="36"/>
      <c r="C517" s="37"/>
      <c r="D517" s="51"/>
      <c r="E517" s="41"/>
      <c r="F517" s="41"/>
      <c r="G517" s="41"/>
      <c r="H517" s="41"/>
    </row>
    <row r="518">
      <c r="A518" s="6"/>
      <c r="B518" s="34"/>
      <c r="C518" s="35"/>
      <c r="D518" s="50"/>
      <c r="E518" s="31"/>
      <c r="F518" s="31"/>
      <c r="G518" s="31"/>
      <c r="H518" s="31"/>
    </row>
    <row r="519">
      <c r="A519" s="11"/>
      <c r="B519" s="36"/>
      <c r="C519" s="37"/>
      <c r="D519" s="51"/>
      <c r="E519" s="41"/>
      <c r="F519" s="41"/>
      <c r="G519" s="41"/>
      <c r="H519" s="41"/>
    </row>
    <row r="520">
      <c r="A520" s="6"/>
      <c r="B520" s="34"/>
      <c r="C520" s="35"/>
      <c r="D520" s="50"/>
      <c r="E520" s="31"/>
      <c r="F520" s="31"/>
      <c r="G520" s="31"/>
      <c r="H520" s="31"/>
    </row>
    <row r="521">
      <c r="A521" s="11"/>
      <c r="B521" s="36"/>
      <c r="C521" s="37"/>
      <c r="D521" s="51"/>
      <c r="E521" s="41"/>
      <c r="F521" s="41"/>
      <c r="G521" s="41"/>
      <c r="H521" s="41"/>
    </row>
    <row r="522">
      <c r="A522" s="6"/>
      <c r="B522" s="34"/>
      <c r="C522" s="35"/>
      <c r="D522" s="50"/>
      <c r="E522" s="31"/>
      <c r="F522" s="31"/>
      <c r="G522" s="31"/>
      <c r="H522" s="31"/>
    </row>
    <row r="523">
      <c r="A523" s="11"/>
      <c r="B523" s="36"/>
      <c r="C523" s="37"/>
      <c r="D523" s="51"/>
      <c r="E523" s="41"/>
      <c r="F523" s="41"/>
      <c r="G523" s="41"/>
      <c r="H523" s="41"/>
    </row>
    <row r="524">
      <c r="A524" s="6"/>
      <c r="B524" s="34"/>
      <c r="C524" s="35"/>
      <c r="D524" s="50"/>
      <c r="E524" s="31"/>
      <c r="F524" s="31"/>
      <c r="G524" s="31"/>
      <c r="H524" s="31"/>
    </row>
    <row r="525">
      <c r="A525" s="11"/>
      <c r="B525" s="36"/>
      <c r="C525" s="37"/>
      <c r="D525" s="51"/>
      <c r="E525" s="41"/>
      <c r="F525" s="41"/>
      <c r="G525" s="41"/>
      <c r="H525" s="41"/>
    </row>
    <row r="526">
      <c r="A526" s="6"/>
      <c r="B526" s="34"/>
      <c r="C526" s="35"/>
      <c r="D526" s="50"/>
      <c r="E526" s="31"/>
      <c r="F526" s="31"/>
      <c r="G526" s="31"/>
      <c r="H526" s="31"/>
    </row>
    <row r="527">
      <c r="A527" s="11"/>
      <c r="B527" s="36"/>
      <c r="C527" s="37"/>
      <c r="D527" s="51"/>
      <c r="E527" s="41"/>
      <c r="F527" s="41"/>
      <c r="G527" s="41"/>
      <c r="H527" s="41"/>
    </row>
    <row r="528">
      <c r="A528" s="6"/>
      <c r="B528" s="34"/>
      <c r="C528" s="35"/>
      <c r="D528" s="50"/>
      <c r="E528" s="31"/>
      <c r="F528" s="31"/>
      <c r="G528" s="31"/>
      <c r="H528" s="31"/>
    </row>
    <row r="529">
      <c r="A529" s="11"/>
      <c r="B529" s="36"/>
      <c r="C529" s="37"/>
      <c r="D529" s="51"/>
      <c r="E529" s="41"/>
      <c r="F529" s="41"/>
      <c r="G529" s="41"/>
      <c r="H529" s="41"/>
    </row>
    <row r="530">
      <c r="A530" s="6"/>
      <c r="B530" s="34"/>
      <c r="C530" s="35"/>
      <c r="D530" s="50"/>
      <c r="E530" s="31"/>
      <c r="F530" s="31"/>
      <c r="G530" s="31"/>
      <c r="H530" s="31"/>
    </row>
    <row r="531">
      <c r="A531" s="11"/>
      <c r="B531" s="36"/>
      <c r="C531" s="37"/>
      <c r="D531" s="51"/>
      <c r="E531" s="41"/>
      <c r="F531" s="41"/>
      <c r="G531" s="41"/>
      <c r="H531" s="41"/>
    </row>
    <row r="532">
      <c r="A532" s="6"/>
      <c r="B532" s="34"/>
      <c r="C532" s="35"/>
      <c r="D532" s="50"/>
      <c r="E532" s="31"/>
      <c r="F532" s="31"/>
      <c r="G532" s="31"/>
      <c r="H532" s="31"/>
    </row>
    <row r="533">
      <c r="A533" s="11"/>
      <c r="B533" s="36"/>
      <c r="C533" s="37"/>
      <c r="D533" s="51"/>
      <c r="E533" s="41"/>
      <c r="F533" s="41"/>
      <c r="G533" s="41"/>
      <c r="H533" s="41"/>
    </row>
    <row r="534">
      <c r="A534" s="6"/>
      <c r="B534" s="34"/>
      <c r="C534" s="35"/>
      <c r="D534" s="50"/>
      <c r="E534" s="31"/>
      <c r="F534" s="31"/>
      <c r="G534" s="31"/>
      <c r="H534" s="31"/>
    </row>
    <row r="535">
      <c r="A535" s="11"/>
      <c r="B535" s="36"/>
      <c r="C535" s="37"/>
      <c r="D535" s="51"/>
      <c r="E535" s="41"/>
      <c r="F535" s="41"/>
      <c r="G535" s="41"/>
      <c r="H535" s="41"/>
    </row>
    <row r="536">
      <c r="A536" s="6"/>
      <c r="B536" s="34"/>
      <c r="C536" s="35"/>
      <c r="D536" s="50"/>
      <c r="E536" s="31"/>
      <c r="F536" s="31"/>
      <c r="G536" s="31"/>
      <c r="H536" s="31"/>
    </row>
    <row r="537">
      <c r="A537" s="11"/>
      <c r="B537" s="36"/>
      <c r="C537" s="37"/>
      <c r="D537" s="51"/>
      <c r="E537" s="41"/>
      <c r="F537" s="41"/>
      <c r="G537" s="41"/>
      <c r="H537" s="41"/>
    </row>
    <row r="538">
      <c r="A538" s="6"/>
      <c r="B538" s="34"/>
      <c r="C538" s="35"/>
      <c r="D538" s="50"/>
      <c r="E538" s="31"/>
      <c r="F538" s="31"/>
      <c r="G538" s="31"/>
      <c r="H538" s="31"/>
    </row>
    <row r="539">
      <c r="A539" s="11"/>
      <c r="B539" s="36"/>
      <c r="C539" s="37"/>
      <c r="D539" s="51"/>
      <c r="E539" s="41"/>
      <c r="F539" s="41"/>
      <c r="G539" s="41"/>
      <c r="H539" s="41"/>
    </row>
    <row r="540">
      <c r="A540" s="6"/>
      <c r="B540" s="34"/>
      <c r="C540" s="35"/>
      <c r="D540" s="50"/>
      <c r="E540" s="31"/>
      <c r="F540" s="31"/>
      <c r="G540" s="31"/>
      <c r="H540" s="31"/>
    </row>
    <row r="541">
      <c r="A541" s="11"/>
      <c r="B541" s="36"/>
      <c r="C541" s="37"/>
      <c r="D541" s="51"/>
      <c r="E541" s="41"/>
      <c r="F541" s="41"/>
      <c r="G541" s="41"/>
      <c r="H541" s="41"/>
    </row>
    <row r="542">
      <c r="A542" s="6"/>
      <c r="B542" s="34"/>
      <c r="C542" s="35"/>
      <c r="D542" s="50"/>
      <c r="E542" s="31"/>
      <c r="F542" s="31"/>
      <c r="G542" s="31"/>
      <c r="H542" s="31"/>
    </row>
    <row r="543">
      <c r="A543" s="11"/>
      <c r="B543" s="36"/>
      <c r="C543" s="37"/>
      <c r="D543" s="51"/>
      <c r="E543" s="41"/>
      <c r="F543" s="41"/>
      <c r="G543" s="41"/>
      <c r="H543" s="41"/>
    </row>
    <row r="544">
      <c r="A544" s="6"/>
      <c r="B544" s="34"/>
      <c r="C544" s="35"/>
      <c r="D544" s="50"/>
      <c r="E544" s="31"/>
      <c r="F544" s="31"/>
      <c r="G544" s="31"/>
      <c r="H544" s="31"/>
    </row>
    <row r="545">
      <c r="A545" s="11"/>
      <c r="B545" s="36"/>
      <c r="C545" s="37"/>
      <c r="D545" s="51"/>
      <c r="E545" s="41"/>
      <c r="F545" s="41"/>
      <c r="G545" s="41"/>
      <c r="H545" s="41"/>
    </row>
    <row r="546">
      <c r="A546" s="6"/>
      <c r="B546" s="34"/>
      <c r="C546" s="35"/>
      <c r="D546" s="50"/>
      <c r="E546" s="31"/>
      <c r="F546" s="31"/>
      <c r="G546" s="31"/>
      <c r="H546" s="31"/>
    </row>
    <row r="547">
      <c r="A547" s="11"/>
      <c r="B547" s="36"/>
      <c r="C547" s="37"/>
      <c r="D547" s="51"/>
      <c r="E547" s="41"/>
      <c r="F547" s="41"/>
      <c r="G547" s="41"/>
      <c r="H547" s="41"/>
    </row>
    <row r="548">
      <c r="A548" s="6"/>
      <c r="B548" s="34"/>
      <c r="C548" s="35"/>
      <c r="D548" s="50"/>
      <c r="E548" s="31"/>
      <c r="F548" s="31"/>
      <c r="G548" s="31"/>
      <c r="H548" s="31"/>
    </row>
    <row r="549">
      <c r="A549" s="11"/>
      <c r="B549" s="36"/>
      <c r="C549" s="37"/>
      <c r="D549" s="51"/>
      <c r="E549" s="41"/>
      <c r="F549" s="41"/>
      <c r="G549" s="41"/>
      <c r="H549" s="41"/>
    </row>
    <row r="550">
      <c r="A550" s="6"/>
      <c r="B550" s="34"/>
      <c r="C550" s="35"/>
      <c r="D550" s="50"/>
      <c r="E550" s="31"/>
      <c r="F550" s="31"/>
      <c r="G550" s="31"/>
      <c r="H550" s="31"/>
    </row>
    <row r="551">
      <c r="A551" s="11"/>
      <c r="B551" s="36"/>
      <c r="C551" s="37"/>
      <c r="D551" s="51"/>
      <c r="E551" s="41"/>
      <c r="F551" s="41"/>
      <c r="G551" s="41"/>
      <c r="H551" s="41"/>
    </row>
    <row r="552">
      <c r="A552" s="6"/>
      <c r="B552" s="34"/>
      <c r="C552" s="35"/>
      <c r="D552" s="50"/>
      <c r="E552" s="31"/>
      <c r="F552" s="31"/>
      <c r="G552" s="31"/>
      <c r="H552" s="31"/>
    </row>
    <row r="553">
      <c r="A553" s="11"/>
      <c r="B553" s="36"/>
      <c r="C553" s="37"/>
      <c r="D553" s="51"/>
      <c r="E553" s="41"/>
      <c r="F553" s="41"/>
      <c r="G553" s="41"/>
      <c r="H553" s="41"/>
    </row>
    <row r="554">
      <c r="A554" s="6"/>
      <c r="B554" s="34"/>
      <c r="C554" s="35"/>
      <c r="D554" s="50"/>
      <c r="E554" s="31"/>
      <c r="F554" s="31"/>
      <c r="G554" s="31"/>
      <c r="H554" s="31"/>
    </row>
    <row r="555">
      <c r="A555" s="11"/>
      <c r="B555" s="36"/>
      <c r="C555" s="37"/>
      <c r="D555" s="51"/>
      <c r="E555" s="41"/>
      <c r="F555" s="41"/>
      <c r="G555" s="41"/>
      <c r="H555" s="41"/>
    </row>
    <row r="556">
      <c r="A556" s="6"/>
      <c r="B556" s="34"/>
      <c r="C556" s="35"/>
      <c r="D556" s="50"/>
      <c r="E556" s="31"/>
      <c r="F556" s="31"/>
      <c r="G556" s="31"/>
      <c r="H556" s="31"/>
    </row>
    <row r="557">
      <c r="A557" s="11"/>
      <c r="B557" s="36"/>
      <c r="C557" s="37"/>
      <c r="D557" s="51"/>
      <c r="E557" s="41"/>
      <c r="F557" s="41"/>
      <c r="G557" s="41"/>
      <c r="H557" s="41"/>
    </row>
    <row r="558">
      <c r="A558" s="6"/>
      <c r="B558" s="34"/>
      <c r="C558" s="35"/>
      <c r="D558" s="50"/>
      <c r="E558" s="31"/>
      <c r="F558" s="31"/>
      <c r="G558" s="31"/>
      <c r="H558" s="31"/>
    </row>
    <row r="559">
      <c r="A559" s="11"/>
      <c r="B559" s="36"/>
      <c r="C559" s="37"/>
      <c r="D559" s="51"/>
      <c r="E559" s="41"/>
      <c r="F559" s="41"/>
      <c r="G559" s="41"/>
      <c r="H559" s="41"/>
    </row>
    <row r="560">
      <c r="A560" s="6"/>
      <c r="B560" s="34"/>
      <c r="C560" s="35"/>
      <c r="D560" s="50"/>
      <c r="E560" s="31"/>
      <c r="F560" s="31"/>
      <c r="G560" s="31"/>
      <c r="H560" s="31"/>
    </row>
    <row r="561">
      <c r="A561" s="11"/>
      <c r="B561" s="36"/>
      <c r="C561" s="37"/>
      <c r="D561" s="51"/>
      <c r="E561" s="41"/>
      <c r="F561" s="41"/>
      <c r="G561" s="41"/>
      <c r="H561" s="41"/>
    </row>
    <row r="562">
      <c r="A562" s="6"/>
      <c r="B562" s="34"/>
      <c r="C562" s="35"/>
      <c r="D562" s="50"/>
      <c r="E562" s="31"/>
      <c r="F562" s="31"/>
      <c r="G562" s="31"/>
      <c r="H562" s="31"/>
    </row>
    <row r="563">
      <c r="A563" s="11"/>
      <c r="B563" s="36"/>
      <c r="C563" s="37"/>
      <c r="D563" s="51"/>
      <c r="E563" s="41"/>
      <c r="F563" s="41"/>
      <c r="G563" s="41"/>
      <c r="H563" s="41"/>
    </row>
    <row r="564">
      <c r="A564" s="6"/>
      <c r="B564" s="34"/>
      <c r="C564" s="35"/>
      <c r="D564" s="50"/>
      <c r="E564" s="31"/>
      <c r="F564" s="31"/>
      <c r="G564" s="31"/>
      <c r="H564" s="31"/>
    </row>
    <row r="565">
      <c r="A565" s="11"/>
      <c r="B565" s="36"/>
      <c r="C565" s="37"/>
      <c r="D565" s="51"/>
      <c r="E565" s="41"/>
      <c r="F565" s="41"/>
      <c r="G565" s="41"/>
      <c r="H565" s="41"/>
    </row>
    <row r="566">
      <c r="A566" s="6"/>
      <c r="B566" s="34"/>
      <c r="C566" s="35"/>
      <c r="D566" s="50"/>
      <c r="E566" s="31"/>
      <c r="F566" s="31"/>
      <c r="G566" s="31"/>
      <c r="H566" s="31"/>
    </row>
    <row r="567">
      <c r="A567" s="11"/>
      <c r="B567" s="36"/>
      <c r="C567" s="37"/>
      <c r="D567" s="51"/>
      <c r="E567" s="41"/>
      <c r="F567" s="41"/>
      <c r="G567" s="41"/>
      <c r="H567" s="41"/>
    </row>
    <row r="568">
      <c r="A568" s="6"/>
      <c r="B568" s="34"/>
      <c r="C568" s="35"/>
      <c r="D568" s="50"/>
      <c r="E568" s="31"/>
      <c r="F568" s="31"/>
      <c r="G568" s="31"/>
      <c r="H568" s="31"/>
    </row>
    <row r="569">
      <c r="A569" s="11"/>
      <c r="B569" s="36"/>
      <c r="C569" s="37"/>
      <c r="D569" s="51"/>
      <c r="E569" s="41"/>
      <c r="F569" s="41"/>
      <c r="G569" s="41"/>
      <c r="H569" s="41"/>
    </row>
    <row r="570">
      <c r="A570" s="6"/>
      <c r="B570" s="34"/>
      <c r="C570" s="35"/>
      <c r="D570" s="50"/>
      <c r="E570" s="31"/>
      <c r="F570" s="31"/>
      <c r="G570" s="31"/>
      <c r="H570" s="31"/>
    </row>
    <row r="571">
      <c r="A571" s="11"/>
      <c r="B571" s="36"/>
      <c r="C571" s="37"/>
      <c r="D571" s="51"/>
      <c r="E571" s="41"/>
      <c r="F571" s="41"/>
      <c r="G571" s="41"/>
      <c r="H571" s="41"/>
    </row>
    <row r="572">
      <c r="A572" s="6"/>
      <c r="B572" s="34"/>
      <c r="C572" s="35"/>
      <c r="D572" s="50"/>
      <c r="E572" s="31"/>
      <c r="F572" s="31"/>
      <c r="G572" s="31"/>
      <c r="H572" s="31"/>
    </row>
    <row r="573">
      <c r="A573" s="11"/>
      <c r="B573" s="36"/>
      <c r="C573" s="37"/>
      <c r="D573" s="51"/>
      <c r="E573" s="41"/>
      <c r="F573" s="41"/>
      <c r="G573" s="41"/>
      <c r="H573" s="41"/>
    </row>
    <row r="574">
      <c r="A574" s="6"/>
      <c r="B574" s="34"/>
      <c r="C574" s="35"/>
      <c r="D574" s="50"/>
      <c r="E574" s="31"/>
      <c r="F574" s="31"/>
      <c r="G574" s="31"/>
      <c r="H574" s="31"/>
    </row>
    <row r="575">
      <c r="A575" s="11"/>
      <c r="B575" s="36"/>
      <c r="C575" s="37"/>
      <c r="D575" s="51"/>
      <c r="E575" s="41"/>
      <c r="F575" s="41"/>
      <c r="G575" s="41"/>
      <c r="H575" s="41"/>
    </row>
    <row r="576">
      <c r="A576" s="6"/>
      <c r="B576" s="34"/>
      <c r="C576" s="35"/>
      <c r="D576" s="50"/>
      <c r="E576" s="31"/>
      <c r="F576" s="31"/>
      <c r="G576" s="31"/>
      <c r="H576" s="31"/>
    </row>
    <row r="577">
      <c r="A577" s="11"/>
      <c r="B577" s="36"/>
      <c r="C577" s="37"/>
      <c r="D577" s="51"/>
      <c r="E577" s="41"/>
      <c r="F577" s="41"/>
      <c r="G577" s="41"/>
      <c r="H577" s="41"/>
    </row>
    <row r="578">
      <c r="A578" s="6"/>
      <c r="B578" s="34"/>
      <c r="C578" s="35"/>
      <c r="D578" s="50"/>
      <c r="E578" s="31"/>
      <c r="F578" s="31"/>
      <c r="G578" s="31"/>
      <c r="H578" s="31"/>
    </row>
    <row r="579">
      <c r="A579" s="11"/>
      <c r="B579" s="36"/>
      <c r="C579" s="37"/>
      <c r="D579" s="51"/>
      <c r="E579" s="41"/>
      <c r="F579" s="41"/>
      <c r="G579" s="41"/>
      <c r="H579" s="41"/>
    </row>
    <row r="580">
      <c r="A580" s="6"/>
      <c r="B580" s="34"/>
      <c r="C580" s="35"/>
      <c r="D580" s="50"/>
      <c r="E580" s="31"/>
      <c r="F580" s="31"/>
      <c r="G580" s="31"/>
      <c r="H580" s="31"/>
    </row>
    <row r="581">
      <c r="A581" s="11"/>
      <c r="B581" s="36"/>
      <c r="C581" s="37"/>
      <c r="D581" s="51"/>
      <c r="E581" s="41"/>
      <c r="F581" s="41"/>
      <c r="G581" s="41"/>
      <c r="H581" s="41"/>
    </row>
    <row r="582">
      <c r="A582" s="6"/>
      <c r="B582" s="34"/>
      <c r="C582" s="35"/>
      <c r="D582" s="50"/>
      <c r="E582" s="31"/>
      <c r="F582" s="31"/>
      <c r="G582" s="31"/>
      <c r="H582" s="31"/>
    </row>
    <row r="583">
      <c r="A583" s="11"/>
      <c r="B583" s="36"/>
      <c r="C583" s="37"/>
      <c r="D583" s="51"/>
      <c r="E583" s="41"/>
      <c r="F583" s="41"/>
      <c r="G583" s="41"/>
      <c r="H583" s="41"/>
    </row>
    <row r="584">
      <c r="A584" s="6"/>
      <c r="B584" s="34"/>
      <c r="C584" s="35"/>
      <c r="D584" s="50"/>
      <c r="E584" s="31"/>
      <c r="F584" s="31"/>
      <c r="G584" s="31"/>
      <c r="H584" s="31"/>
    </row>
    <row r="585">
      <c r="A585" s="11"/>
      <c r="B585" s="36"/>
      <c r="C585" s="37"/>
      <c r="D585" s="51"/>
      <c r="E585" s="41"/>
      <c r="F585" s="41"/>
      <c r="G585" s="41"/>
      <c r="H585" s="41"/>
    </row>
    <row r="586">
      <c r="A586" s="6"/>
      <c r="B586" s="34"/>
      <c r="C586" s="35"/>
      <c r="D586" s="50"/>
      <c r="E586" s="31"/>
      <c r="F586" s="31"/>
      <c r="G586" s="31"/>
      <c r="H586" s="31"/>
    </row>
    <row r="587">
      <c r="A587" s="11"/>
      <c r="B587" s="36"/>
      <c r="C587" s="37"/>
      <c r="D587" s="51"/>
      <c r="E587" s="41"/>
      <c r="F587" s="41"/>
      <c r="G587" s="41"/>
      <c r="H587" s="41"/>
    </row>
    <row r="588">
      <c r="A588" s="6"/>
      <c r="B588" s="34"/>
      <c r="C588" s="35"/>
      <c r="D588" s="50"/>
      <c r="E588" s="31"/>
      <c r="F588" s="31"/>
      <c r="G588" s="31"/>
      <c r="H588" s="31"/>
    </row>
    <row r="589">
      <c r="A589" s="11"/>
      <c r="B589" s="36"/>
      <c r="C589" s="37"/>
      <c r="D589" s="51"/>
      <c r="E589" s="41"/>
      <c r="F589" s="41"/>
      <c r="G589" s="41"/>
      <c r="H589" s="41"/>
    </row>
    <row r="590">
      <c r="A590" s="6"/>
      <c r="B590" s="34"/>
      <c r="C590" s="35"/>
      <c r="D590" s="50"/>
      <c r="E590" s="31"/>
      <c r="F590" s="31"/>
      <c r="G590" s="31"/>
      <c r="H590" s="31"/>
    </row>
    <row r="591">
      <c r="A591" s="11"/>
      <c r="B591" s="36"/>
      <c r="C591" s="37"/>
      <c r="D591" s="51"/>
      <c r="E591" s="41"/>
      <c r="F591" s="41"/>
      <c r="G591" s="41"/>
      <c r="H591" s="41"/>
    </row>
    <row r="592">
      <c r="A592" s="6"/>
      <c r="B592" s="34"/>
      <c r="C592" s="35"/>
      <c r="D592" s="50"/>
      <c r="E592" s="31"/>
      <c r="F592" s="31"/>
      <c r="G592" s="31"/>
      <c r="H592" s="31"/>
    </row>
    <row r="593">
      <c r="A593" s="11"/>
      <c r="B593" s="36"/>
      <c r="C593" s="37"/>
      <c r="D593" s="51"/>
      <c r="E593" s="41"/>
      <c r="F593" s="41"/>
      <c r="G593" s="41"/>
      <c r="H593" s="41"/>
    </row>
    <row r="594">
      <c r="A594" s="6"/>
      <c r="B594" s="34"/>
      <c r="C594" s="35"/>
      <c r="D594" s="50"/>
      <c r="E594" s="31"/>
      <c r="F594" s="31"/>
      <c r="G594" s="31"/>
      <c r="H594" s="31"/>
    </row>
    <row r="595">
      <c r="A595" s="11"/>
      <c r="B595" s="36"/>
      <c r="C595" s="37"/>
      <c r="D595" s="51"/>
      <c r="E595" s="41"/>
      <c r="F595" s="41"/>
      <c r="G595" s="41"/>
      <c r="H595" s="41"/>
    </row>
    <row r="596">
      <c r="A596" s="6"/>
      <c r="B596" s="34"/>
      <c r="C596" s="35"/>
      <c r="D596" s="50"/>
      <c r="E596" s="31"/>
      <c r="F596" s="31"/>
      <c r="G596" s="31"/>
      <c r="H596" s="31"/>
    </row>
    <row r="597">
      <c r="A597" s="11"/>
      <c r="B597" s="36"/>
      <c r="C597" s="37"/>
      <c r="D597" s="51"/>
      <c r="E597" s="41"/>
      <c r="F597" s="41"/>
      <c r="G597" s="41"/>
      <c r="H597" s="41"/>
    </row>
    <row r="598">
      <c r="A598" s="6"/>
      <c r="B598" s="34"/>
      <c r="C598" s="35"/>
      <c r="D598" s="50"/>
      <c r="E598" s="31"/>
      <c r="F598" s="31"/>
      <c r="G598" s="31"/>
      <c r="H598" s="31"/>
    </row>
    <row r="599">
      <c r="A599" s="11"/>
      <c r="B599" s="36"/>
      <c r="C599" s="37"/>
      <c r="D599" s="51"/>
      <c r="E599" s="41"/>
      <c r="F599" s="41"/>
      <c r="G599" s="41"/>
      <c r="H599" s="41"/>
    </row>
    <row r="600">
      <c r="A600" s="6"/>
      <c r="B600" s="34"/>
      <c r="C600" s="35"/>
      <c r="D600" s="50"/>
      <c r="E600" s="31"/>
      <c r="F600" s="31"/>
      <c r="G600" s="31"/>
      <c r="H600" s="31"/>
    </row>
    <row r="601">
      <c r="A601" s="11"/>
      <c r="B601" s="36"/>
      <c r="C601" s="37"/>
      <c r="D601" s="51"/>
      <c r="E601" s="41"/>
      <c r="F601" s="41"/>
      <c r="G601" s="41"/>
      <c r="H601" s="41"/>
    </row>
    <row r="602">
      <c r="A602" s="6"/>
      <c r="B602" s="34"/>
      <c r="C602" s="35"/>
      <c r="D602" s="50"/>
      <c r="E602" s="31"/>
      <c r="F602" s="31"/>
      <c r="G602" s="31"/>
      <c r="H602" s="31"/>
    </row>
    <row r="603">
      <c r="A603" s="11"/>
      <c r="B603" s="36"/>
      <c r="C603" s="37"/>
      <c r="D603" s="51"/>
      <c r="E603" s="41"/>
      <c r="F603" s="41"/>
      <c r="G603" s="41"/>
      <c r="H603" s="41"/>
    </row>
    <row r="604">
      <c r="A604" s="6"/>
      <c r="B604" s="34"/>
      <c r="C604" s="35"/>
      <c r="D604" s="50"/>
      <c r="E604" s="31"/>
      <c r="F604" s="31"/>
      <c r="G604" s="31"/>
      <c r="H604" s="31"/>
    </row>
    <row r="605">
      <c r="A605" s="11"/>
      <c r="B605" s="36"/>
      <c r="C605" s="37"/>
      <c r="D605" s="51"/>
      <c r="E605" s="41"/>
      <c r="F605" s="41"/>
      <c r="G605" s="41"/>
      <c r="H605" s="41"/>
    </row>
    <row r="606">
      <c r="A606" s="6"/>
      <c r="B606" s="34"/>
      <c r="C606" s="35"/>
      <c r="D606" s="50"/>
      <c r="E606" s="31"/>
      <c r="F606" s="31"/>
      <c r="G606" s="31"/>
      <c r="H606" s="31"/>
    </row>
    <row r="607">
      <c r="A607" s="11"/>
      <c r="B607" s="36"/>
      <c r="C607" s="37"/>
      <c r="D607" s="51"/>
      <c r="E607" s="41"/>
      <c r="F607" s="41"/>
      <c r="G607" s="41"/>
      <c r="H607" s="41"/>
    </row>
    <row r="608">
      <c r="A608" s="6"/>
      <c r="B608" s="34"/>
      <c r="C608" s="35"/>
      <c r="D608" s="50"/>
      <c r="E608" s="31"/>
      <c r="F608" s="31"/>
      <c r="G608" s="31"/>
      <c r="H608" s="31"/>
    </row>
    <row r="609">
      <c r="A609" s="11"/>
      <c r="B609" s="36"/>
      <c r="C609" s="37"/>
      <c r="D609" s="51"/>
      <c r="E609" s="41"/>
      <c r="F609" s="41"/>
      <c r="G609" s="41"/>
      <c r="H609" s="41"/>
    </row>
    <row r="610">
      <c r="A610" s="6"/>
      <c r="B610" s="34"/>
      <c r="C610" s="35"/>
      <c r="D610" s="50"/>
      <c r="E610" s="31"/>
      <c r="F610" s="31"/>
      <c r="G610" s="31"/>
      <c r="H610" s="31"/>
    </row>
    <row r="611">
      <c r="A611" s="11"/>
      <c r="B611" s="36"/>
      <c r="C611" s="37"/>
      <c r="D611" s="51"/>
      <c r="E611" s="41"/>
      <c r="F611" s="41"/>
      <c r="G611" s="41"/>
      <c r="H611" s="41"/>
    </row>
    <row r="612">
      <c r="A612" s="6"/>
      <c r="B612" s="34"/>
      <c r="C612" s="35"/>
      <c r="D612" s="50"/>
      <c r="E612" s="31"/>
      <c r="F612" s="31"/>
      <c r="G612" s="31"/>
      <c r="H612" s="31"/>
    </row>
    <row r="613">
      <c r="A613" s="11"/>
      <c r="B613" s="36"/>
      <c r="C613" s="37"/>
      <c r="D613" s="51"/>
      <c r="E613" s="41"/>
      <c r="F613" s="41"/>
      <c r="G613" s="41"/>
      <c r="H613" s="41"/>
    </row>
    <row r="614">
      <c r="A614" s="6"/>
      <c r="B614" s="34"/>
      <c r="C614" s="35"/>
      <c r="D614" s="50"/>
      <c r="E614" s="31"/>
      <c r="F614" s="31"/>
      <c r="G614" s="31"/>
      <c r="H614" s="31"/>
    </row>
    <row r="615">
      <c r="A615" s="11"/>
      <c r="B615" s="36"/>
      <c r="C615" s="37"/>
      <c r="D615" s="51"/>
      <c r="E615" s="41"/>
      <c r="F615" s="41"/>
      <c r="G615" s="41"/>
      <c r="H615" s="41"/>
    </row>
    <row r="616">
      <c r="A616" s="6"/>
      <c r="B616" s="34"/>
      <c r="C616" s="35"/>
      <c r="D616" s="50"/>
      <c r="E616" s="31"/>
      <c r="F616" s="31"/>
      <c r="G616" s="31"/>
      <c r="H616" s="31"/>
    </row>
    <row r="617">
      <c r="A617" s="11"/>
      <c r="B617" s="36"/>
      <c r="C617" s="37"/>
      <c r="D617" s="51"/>
      <c r="E617" s="41"/>
      <c r="F617" s="41"/>
      <c r="G617" s="41"/>
      <c r="H617" s="41"/>
    </row>
    <row r="618">
      <c r="A618" s="6"/>
      <c r="B618" s="34"/>
      <c r="C618" s="35"/>
      <c r="D618" s="50"/>
      <c r="E618" s="31"/>
      <c r="F618" s="31"/>
      <c r="G618" s="31"/>
      <c r="H618" s="31"/>
    </row>
    <row r="619">
      <c r="A619" s="11"/>
      <c r="B619" s="36"/>
      <c r="C619" s="37"/>
      <c r="D619" s="51"/>
      <c r="E619" s="41"/>
      <c r="F619" s="41"/>
      <c r="G619" s="41"/>
      <c r="H619" s="41"/>
    </row>
    <row r="620">
      <c r="A620" s="6"/>
      <c r="B620" s="34"/>
      <c r="C620" s="35"/>
      <c r="D620" s="50"/>
      <c r="E620" s="31"/>
      <c r="F620" s="31"/>
      <c r="G620" s="31"/>
      <c r="H620" s="31"/>
    </row>
    <row r="621">
      <c r="A621" s="11"/>
      <c r="B621" s="36"/>
      <c r="C621" s="37"/>
      <c r="D621" s="51"/>
      <c r="E621" s="41"/>
      <c r="F621" s="41"/>
      <c r="G621" s="41"/>
      <c r="H621" s="41"/>
    </row>
    <row r="622">
      <c r="A622" s="6"/>
      <c r="B622" s="34"/>
      <c r="C622" s="35"/>
      <c r="D622" s="50"/>
      <c r="E622" s="31"/>
      <c r="F622" s="31"/>
      <c r="G622" s="31"/>
      <c r="H622" s="31"/>
    </row>
    <row r="623">
      <c r="A623" s="11"/>
      <c r="B623" s="36"/>
      <c r="C623" s="37"/>
      <c r="D623" s="51"/>
      <c r="E623" s="41"/>
      <c r="F623" s="41"/>
      <c r="G623" s="41"/>
      <c r="H623" s="41"/>
    </row>
    <row r="624">
      <c r="A624" s="6"/>
      <c r="B624" s="34"/>
      <c r="C624" s="35"/>
      <c r="D624" s="50"/>
      <c r="E624" s="31"/>
      <c r="F624" s="31"/>
      <c r="G624" s="31"/>
      <c r="H624" s="31"/>
    </row>
    <row r="625">
      <c r="A625" s="11"/>
      <c r="B625" s="36"/>
      <c r="C625" s="37"/>
      <c r="D625" s="51"/>
      <c r="E625" s="41"/>
      <c r="F625" s="41"/>
      <c r="G625" s="41"/>
      <c r="H625" s="41"/>
    </row>
    <row r="626">
      <c r="A626" s="6"/>
      <c r="B626" s="34"/>
      <c r="C626" s="35"/>
      <c r="D626" s="50"/>
      <c r="E626" s="31"/>
      <c r="F626" s="31"/>
      <c r="G626" s="31"/>
      <c r="H626" s="31"/>
    </row>
    <row r="627">
      <c r="A627" s="11"/>
      <c r="B627" s="36"/>
      <c r="C627" s="37"/>
      <c r="D627" s="51"/>
      <c r="E627" s="41"/>
      <c r="F627" s="41"/>
      <c r="G627" s="41"/>
      <c r="H627" s="41"/>
    </row>
    <row r="628">
      <c r="A628" s="6"/>
      <c r="B628" s="34"/>
      <c r="C628" s="35"/>
      <c r="D628" s="50"/>
      <c r="E628" s="31"/>
      <c r="F628" s="31"/>
      <c r="G628" s="31"/>
      <c r="H628" s="31"/>
    </row>
    <row r="629">
      <c r="A629" s="11"/>
      <c r="B629" s="36"/>
      <c r="C629" s="37"/>
      <c r="D629" s="51"/>
      <c r="E629" s="41"/>
      <c r="F629" s="41"/>
      <c r="G629" s="41"/>
      <c r="H629" s="41"/>
    </row>
    <row r="630">
      <c r="A630" s="6"/>
      <c r="B630" s="34"/>
      <c r="C630" s="35"/>
      <c r="D630" s="50"/>
      <c r="E630" s="31"/>
      <c r="F630" s="31"/>
      <c r="G630" s="31"/>
      <c r="H630" s="31"/>
    </row>
    <row r="631">
      <c r="A631" s="11"/>
      <c r="B631" s="36"/>
      <c r="C631" s="37"/>
      <c r="D631" s="51"/>
      <c r="E631" s="41"/>
      <c r="F631" s="41"/>
      <c r="G631" s="41"/>
      <c r="H631" s="41"/>
    </row>
    <row r="632">
      <c r="A632" s="6"/>
      <c r="B632" s="34"/>
      <c r="C632" s="35"/>
      <c r="D632" s="50"/>
      <c r="E632" s="31"/>
      <c r="F632" s="31"/>
      <c r="G632" s="31"/>
      <c r="H632" s="31"/>
    </row>
    <row r="633">
      <c r="A633" s="11"/>
      <c r="B633" s="36"/>
      <c r="C633" s="37"/>
      <c r="D633" s="51"/>
      <c r="E633" s="41"/>
      <c r="F633" s="41"/>
      <c r="G633" s="41"/>
      <c r="H633" s="41"/>
    </row>
    <row r="634">
      <c r="A634" s="6"/>
      <c r="B634" s="34"/>
      <c r="C634" s="35"/>
      <c r="D634" s="50"/>
      <c r="E634" s="31"/>
      <c r="F634" s="31"/>
      <c r="G634" s="31"/>
      <c r="H634" s="31"/>
    </row>
    <row r="635">
      <c r="A635" s="11"/>
      <c r="B635" s="36"/>
      <c r="C635" s="37"/>
      <c r="D635" s="51"/>
      <c r="E635" s="41"/>
      <c r="F635" s="41"/>
      <c r="G635" s="41"/>
      <c r="H635" s="41"/>
    </row>
    <row r="636">
      <c r="A636" s="6"/>
      <c r="B636" s="34"/>
      <c r="C636" s="35"/>
      <c r="D636" s="50"/>
      <c r="E636" s="31"/>
      <c r="F636" s="31"/>
      <c r="G636" s="31"/>
      <c r="H636" s="31"/>
    </row>
    <row r="637">
      <c r="A637" s="11"/>
      <c r="B637" s="36"/>
      <c r="C637" s="37"/>
      <c r="D637" s="51"/>
      <c r="E637" s="41"/>
      <c r="F637" s="41"/>
      <c r="G637" s="41"/>
      <c r="H637" s="41"/>
    </row>
    <row r="638">
      <c r="A638" s="6"/>
      <c r="B638" s="34"/>
      <c r="C638" s="35"/>
      <c r="D638" s="50"/>
      <c r="E638" s="31"/>
      <c r="F638" s="31"/>
      <c r="G638" s="31"/>
      <c r="H638" s="31"/>
    </row>
    <row r="639">
      <c r="A639" s="11"/>
      <c r="B639" s="36"/>
      <c r="C639" s="37"/>
      <c r="D639" s="51"/>
      <c r="E639" s="41"/>
      <c r="F639" s="41"/>
      <c r="G639" s="41"/>
      <c r="H639" s="41"/>
    </row>
    <row r="640">
      <c r="A640" s="6"/>
      <c r="B640" s="34"/>
      <c r="C640" s="35"/>
      <c r="D640" s="50"/>
      <c r="E640" s="31"/>
      <c r="F640" s="31"/>
      <c r="G640" s="31"/>
      <c r="H640" s="31"/>
    </row>
    <row r="641">
      <c r="A641" s="11"/>
      <c r="B641" s="36"/>
      <c r="C641" s="37"/>
      <c r="D641" s="51"/>
      <c r="E641" s="41"/>
      <c r="F641" s="41"/>
      <c r="G641" s="41"/>
      <c r="H641" s="41"/>
    </row>
    <row r="642">
      <c r="A642" s="6"/>
      <c r="B642" s="34"/>
      <c r="C642" s="35"/>
      <c r="D642" s="50"/>
      <c r="E642" s="31"/>
      <c r="F642" s="31"/>
      <c r="G642" s="31"/>
      <c r="H642" s="31"/>
    </row>
    <row r="643">
      <c r="A643" s="11"/>
      <c r="B643" s="36"/>
      <c r="C643" s="37"/>
      <c r="D643" s="51"/>
      <c r="E643" s="41"/>
      <c r="F643" s="41"/>
      <c r="G643" s="41"/>
      <c r="H643" s="41"/>
    </row>
    <row r="644">
      <c r="A644" s="6"/>
      <c r="B644" s="34"/>
      <c r="C644" s="35"/>
      <c r="D644" s="50"/>
      <c r="E644" s="31"/>
      <c r="F644" s="31"/>
      <c r="G644" s="31"/>
      <c r="H644" s="31"/>
    </row>
    <row r="645">
      <c r="A645" s="11"/>
      <c r="B645" s="36"/>
      <c r="C645" s="37"/>
      <c r="D645" s="51"/>
      <c r="E645" s="41"/>
      <c r="F645" s="41"/>
      <c r="G645" s="41"/>
      <c r="H645" s="41"/>
    </row>
    <row r="646">
      <c r="A646" s="6"/>
      <c r="B646" s="34"/>
      <c r="C646" s="35"/>
      <c r="D646" s="50"/>
      <c r="E646" s="31"/>
      <c r="F646" s="31"/>
      <c r="G646" s="31"/>
      <c r="H646" s="31"/>
    </row>
    <row r="647">
      <c r="A647" s="11"/>
      <c r="B647" s="36"/>
      <c r="C647" s="37"/>
      <c r="D647" s="51"/>
      <c r="E647" s="41"/>
      <c r="F647" s="41"/>
      <c r="G647" s="41"/>
      <c r="H647" s="41"/>
    </row>
    <row r="648">
      <c r="A648" s="6"/>
      <c r="B648" s="34"/>
      <c r="C648" s="35"/>
      <c r="D648" s="50"/>
      <c r="E648" s="31"/>
      <c r="F648" s="31"/>
      <c r="G648" s="31"/>
      <c r="H648" s="31"/>
    </row>
    <row r="649">
      <c r="A649" s="11"/>
      <c r="B649" s="36"/>
      <c r="C649" s="37"/>
      <c r="D649" s="51"/>
      <c r="E649" s="41"/>
      <c r="F649" s="41"/>
      <c r="G649" s="41"/>
      <c r="H649" s="41"/>
    </row>
    <row r="650">
      <c r="A650" s="6"/>
      <c r="B650" s="34"/>
      <c r="C650" s="35"/>
      <c r="D650" s="50"/>
      <c r="E650" s="31"/>
      <c r="F650" s="31"/>
      <c r="G650" s="31"/>
      <c r="H650" s="31"/>
    </row>
    <row r="651">
      <c r="A651" s="11"/>
      <c r="B651" s="36"/>
      <c r="C651" s="37"/>
      <c r="D651" s="51"/>
      <c r="E651" s="41"/>
      <c r="F651" s="41"/>
      <c r="G651" s="41"/>
      <c r="H651" s="41"/>
    </row>
    <row r="652">
      <c r="A652" s="6"/>
      <c r="B652" s="34"/>
      <c r="C652" s="35"/>
      <c r="D652" s="50"/>
      <c r="E652" s="31"/>
      <c r="F652" s="31"/>
      <c r="G652" s="31"/>
      <c r="H652" s="31"/>
    </row>
    <row r="653">
      <c r="A653" s="11"/>
      <c r="B653" s="36"/>
      <c r="C653" s="37"/>
      <c r="D653" s="51"/>
      <c r="E653" s="41"/>
      <c r="F653" s="41"/>
      <c r="G653" s="41"/>
      <c r="H653" s="41"/>
    </row>
    <row r="654">
      <c r="A654" s="6"/>
      <c r="B654" s="34"/>
      <c r="C654" s="35"/>
      <c r="D654" s="50"/>
      <c r="E654" s="31"/>
      <c r="F654" s="31"/>
      <c r="G654" s="31"/>
      <c r="H654" s="31"/>
    </row>
    <row r="655">
      <c r="A655" s="11"/>
      <c r="B655" s="36"/>
      <c r="C655" s="37"/>
      <c r="D655" s="51"/>
      <c r="E655" s="41"/>
      <c r="F655" s="41"/>
      <c r="G655" s="41"/>
      <c r="H655" s="41"/>
    </row>
    <row r="656">
      <c r="A656" s="6"/>
      <c r="B656" s="34"/>
      <c r="C656" s="35"/>
      <c r="D656" s="50"/>
      <c r="E656" s="31"/>
      <c r="F656" s="31"/>
      <c r="G656" s="31"/>
      <c r="H656" s="31"/>
    </row>
    <row r="657">
      <c r="A657" s="11"/>
      <c r="B657" s="36"/>
      <c r="C657" s="37"/>
      <c r="D657" s="51"/>
      <c r="E657" s="41"/>
      <c r="F657" s="41"/>
      <c r="G657" s="41"/>
      <c r="H657" s="41"/>
    </row>
    <row r="658">
      <c r="A658" s="6"/>
      <c r="B658" s="34"/>
      <c r="C658" s="35"/>
      <c r="D658" s="50"/>
      <c r="E658" s="31"/>
      <c r="F658" s="31"/>
      <c r="G658" s="31"/>
      <c r="H658" s="31"/>
    </row>
    <row r="659">
      <c r="A659" s="11"/>
      <c r="B659" s="36"/>
      <c r="C659" s="37"/>
      <c r="D659" s="51"/>
      <c r="E659" s="41"/>
      <c r="F659" s="41"/>
      <c r="G659" s="41"/>
      <c r="H659" s="41"/>
    </row>
    <row r="660">
      <c r="A660" s="6"/>
      <c r="B660" s="34"/>
      <c r="C660" s="35"/>
      <c r="D660" s="50"/>
      <c r="E660" s="31"/>
      <c r="F660" s="31"/>
      <c r="G660" s="31"/>
      <c r="H660" s="31"/>
    </row>
    <row r="661">
      <c r="A661" s="11"/>
      <c r="B661" s="36"/>
      <c r="C661" s="37"/>
      <c r="D661" s="51"/>
      <c r="E661" s="41"/>
      <c r="F661" s="41"/>
      <c r="G661" s="41"/>
      <c r="H661" s="41"/>
    </row>
    <row r="662">
      <c r="A662" s="6"/>
      <c r="B662" s="34"/>
      <c r="C662" s="35"/>
      <c r="D662" s="50"/>
      <c r="E662" s="31"/>
      <c r="F662" s="31"/>
      <c r="G662" s="31"/>
      <c r="H662" s="31"/>
    </row>
    <row r="663">
      <c r="A663" s="11"/>
      <c r="B663" s="36"/>
      <c r="C663" s="37"/>
      <c r="D663" s="51"/>
      <c r="E663" s="41"/>
      <c r="F663" s="41"/>
      <c r="G663" s="41"/>
      <c r="H663" s="41"/>
    </row>
    <row r="664">
      <c r="A664" s="6"/>
      <c r="B664" s="34"/>
      <c r="C664" s="35"/>
      <c r="D664" s="50"/>
      <c r="E664" s="31"/>
      <c r="F664" s="31"/>
      <c r="G664" s="31"/>
      <c r="H664" s="31"/>
    </row>
    <row r="665">
      <c r="A665" s="11"/>
      <c r="B665" s="36"/>
      <c r="C665" s="37"/>
      <c r="D665" s="51"/>
      <c r="E665" s="41"/>
      <c r="F665" s="41"/>
      <c r="G665" s="41"/>
      <c r="H665" s="41"/>
    </row>
    <row r="666">
      <c r="A666" s="6"/>
      <c r="B666" s="34"/>
      <c r="C666" s="35"/>
      <c r="D666" s="50"/>
      <c r="E666" s="31"/>
      <c r="F666" s="31"/>
      <c r="G666" s="31"/>
      <c r="H666" s="31"/>
    </row>
    <row r="667">
      <c r="A667" s="11"/>
      <c r="B667" s="36"/>
      <c r="C667" s="37"/>
      <c r="D667" s="51"/>
      <c r="E667" s="41"/>
      <c r="F667" s="41"/>
      <c r="G667" s="41"/>
      <c r="H667" s="41"/>
    </row>
    <row r="668">
      <c r="A668" s="6"/>
      <c r="B668" s="34"/>
      <c r="C668" s="35"/>
      <c r="D668" s="50"/>
      <c r="E668" s="31"/>
      <c r="F668" s="31"/>
      <c r="G668" s="31"/>
      <c r="H668" s="31"/>
    </row>
    <row r="669">
      <c r="A669" s="11"/>
      <c r="B669" s="36"/>
      <c r="C669" s="37"/>
      <c r="D669" s="51"/>
      <c r="E669" s="41"/>
      <c r="F669" s="41"/>
      <c r="G669" s="41"/>
      <c r="H669" s="41"/>
    </row>
    <row r="670">
      <c r="A670" s="6"/>
      <c r="B670" s="34"/>
      <c r="C670" s="35"/>
      <c r="D670" s="50"/>
      <c r="E670" s="31"/>
      <c r="F670" s="31"/>
      <c r="G670" s="31"/>
      <c r="H670" s="31"/>
    </row>
    <row r="671">
      <c r="A671" s="11"/>
      <c r="B671" s="36"/>
      <c r="C671" s="37"/>
      <c r="D671" s="51"/>
      <c r="E671" s="41"/>
      <c r="F671" s="41"/>
      <c r="G671" s="41"/>
      <c r="H671" s="41"/>
    </row>
    <row r="672">
      <c r="A672" s="6"/>
      <c r="B672" s="34"/>
      <c r="C672" s="35"/>
      <c r="D672" s="50"/>
      <c r="E672" s="31"/>
      <c r="F672" s="31"/>
      <c r="G672" s="31"/>
      <c r="H672" s="31"/>
    </row>
    <row r="673">
      <c r="A673" s="11"/>
      <c r="B673" s="36"/>
      <c r="C673" s="37"/>
      <c r="D673" s="51"/>
      <c r="E673" s="41"/>
      <c r="F673" s="41"/>
      <c r="G673" s="41"/>
      <c r="H673" s="41"/>
    </row>
    <row r="674">
      <c r="A674" s="6"/>
      <c r="B674" s="34"/>
      <c r="C674" s="35"/>
      <c r="D674" s="50"/>
      <c r="E674" s="31"/>
      <c r="F674" s="31"/>
      <c r="G674" s="31"/>
      <c r="H674" s="31"/>
    </row>
    <row r="675">
      <c r="A675" s="11"/>
      <c r="B675" s="36"/>
      <c r="C675" s="37"/>
      <c r="D675" s="51"/>
      <c r="E675" s="41"/>
      <c r="F675" s="41"/>
      <c r="G675" s="41"/>
      <c r="H675" s="41"/>
    </row>
    <row r="676">
      <c r="A676" s="6"/>
      <c r="B676" s="34"/>
      <c r="C676" s="35"/>
      <c r="D676" s="50"/>
      <c r="E676" s="31"/>
      <c r="F676" s="31"/>
      <c r="G676" s="31"/>
      <c r="H676" s="31"/>
    </row>
    <row r="677">
      <c r="A677" s="11"/>
      <c r="B677" s="36"/>
      <c r="C677" s="37"/>
      <c r="D677" s="51"/>
      <c r="E677" s="41"/>
      <c r="F677" s="41"/>
      <c r="G677" s="41"/>
      <c r="H677" s="41"/>
    </row>
    <row r="678">
      <c r="A678" s="6"/>
      <c r="B678" s="34"/>
      <c r="C678" s="35"/>
      <c r="D678" s="50"/>
      <c r="E678" s="31"/>
      <c r="F678" s="31"/>
      <c r="G678" s="31"/>
      <c r="H678" s="31"/>
    </row>
    <row r="679">
      <c r="A679" s="11"/>
      <c r="B679" s="36"/>
      <c r="C679" s="37"/>
      <c r="D679" s="51"/>
      <c r="E679" s="41"/>
      <c r="F679" s="41"/>
      <c r="G679" s="41"/>
      <c r="H679" s="41"/>
    </row>
    <row r="680">
      <c r="A680" s="6"/>
      <c r="B680" s="34"/>
      <c r="C680" s="35"/>
      <c r="D680" s="50"/>
      <c r="E680" s="31"/>
      <c r="F680" s="31"/>
      <c r="G680" s="31"/>
      <c r="H680" s="31"/>
    </row>
    <row r="681">
      <c r="A681" s="11"/>
      <c r="B681" s="36"/>
      <c r="C681" s="37"/>
      <c r="D681" s="51"/>
      <c r="E681" s="41"/>
      <c r="F681" s="41"/>
      <c r="G681" s="41"/>
      <c r="H681" s="41"/>
    </row>
    <row r="682">
      <c r="A682" s="6"/>
      <c r="B682" s="34"/>
      <c r="C682" s="35"/>
      <c r="D682" s="50"/>
      <c r="E682" s="31"/>
      <c r="F682" s="31"/>
      <c r="G682" s="31"/>
      <c r="H682" s="31"/>
    </row>
    <row r="683">
      <c r="A683" s="11"/>
      <c r="B683" s="36"/>
      <c r="C683" s="37"/>
      <c r="D683" s="51"/>
      <c r="E683" s="41"/>
      <c r="F683" s="41"/>
      <c r="G683" s="41"/>
      <c r="H683" s="41"/>
    </row>
    <row r="684">
      <c r="A684" s="6"/>
      <c r="B684" s="34"/>
      <c r="C684" s="35"/>
      <c r="D684" s="50"/>
      <c r="E684" s="31"/>
      <c r="F684" s="31"/>
      <c r="G684" s="31"/>
      <c r="H684" s="31"/>
    </row>
    <row r="685">
      <c r="A685" s="11"/>
      <c r="B685" s="36"/>
      <c r="C685" s="37"/>
      <c r="D685" s="51"/>
      <c r="E685" s="41"/>
      <c r="F685" s="41"/>
      <c r="G685" s="41"/>
      <c r="H685" s="41"/>
    </row>
    <row r="686">
      <c r="A686" s="6"/>
      <c r="B686" s="34"/>
      <c r="C686" s="35"/>
      <c r="D686" s="50"/>
      <c r="E686" s="31"/>
      <c r="F686" s="31"/>
      <c r="G686" s="31"/>
      <c r="H686" s="31"/>
    </row>
    <row r="687">
      <c r="A687" s="11"/>
      <c r="B687" s="36"/>
      <c r="C687" s="37"/>
      <c r="D687" s="51"/>
      <c r="E687" s="41"/>
      <c r="F687" s="41"/>
      <c r="G687" s="41"/>
      <c r="H687" s="41"/>
    </row>
    <row r="688">
      <c r="A688" s="6"/>
      <c r="B688" s="34"/>
      <c r="C688" s="35"/>
      <c r="D688" s="50"/>
      <c r="E688" s="31"/>
      <c r="F688" s="31"/>
      <c r="G688" s="31"/>
      <c r="H688" s="31"/>
    </row>
    <row r="689">
      <c r="A689" s="11"/>
      <c r="B689" s="36"/>
      <c r="C689" s="37"/>
      <c r="D689" s="51"/>
      <c r="E689" s="41"/>
      <c r="F689" s="41"/>
      <c r="G689" s="41"/>
      <c r="H689" s="41"/>
    </row>
    <row r="690">
      <c r="A690" s="6"/>
      <c r="B690" s="34"/>
      <c r="C690" s="35"/>
      <c r="D690" s="50"/>
      <c r="E690" s="31"/>
      <c r="F690" s="31"/>
      <c r="G690" s="31"/>
      <c r="H690" s="31"/>
    </row>
    <row r="691">
      <c r="A691" s="11"/>
      <c r="B691" s="36"/>
      <c r="C691" s="37"/>
      <c r="D691" s="51"/>
      <c r="E691" s="41"/>
      <c r="F691" s="41"/>
      <c r="G691" s="41"/>
      <c r="H691" s="41"/>
    </row>
    <row r="692">
      <c r="A692" s="6"/>
      <c r="B692" s="34"/>
      <c r="C692" s="35"/>
      <c r="D692" s="50"/>
      <c r="E692" s="31"/>
      <c r="F692" s="31"/>
      <c r="G692" s="31"/>
      <c r="H692" s="31"/>
    </row>
    <row r="693">
      <c r="A693" s="11"/>
      <c r="B693" s="36"/>
      <c r="C693" s="37"/>
      <c r="D693" s="51"/>
      <c r="E693" s="41"/>
      <c r="F693" s="41"/>
      <c r="G693" s="41"/>
      <c r="H693" s="41"/>
    </row>
    <row r="694">
      <c r="A694" s="6"/>
      <c r="B694" s="34"/>
      <c r="C694" s="35"/>
      <c r="D694" s="50"/>
      <c r="E694" s="31"/>
      <c r="F694" s="31"/>
      <c r="G694" s="31"/>
      <c r="H694" s="31"/>
    </row>
    <row r="695">
      <c r="A695" s="11"/>
      <c r="B695" s="36"/>
      <c r="C695" s="37"/>
      <c r="D695" s="51"/>
      <c r="E695" s="41"/>
      <c r="F695" s="41"/>
      <c r="G695" s="41"/>
      <c r="H695" s="41"/>
    </row>
    <row r="696">
      <c r="A696" s="6"/>
      <c r="B696" s="34"/>
      <c r="C696" s="35"/>
      <c r="D696" s="50"/>
      <c r="E696" s="31"/>
      <c r="F696" s="31"/>
      <c r="G696" s="31"/>
      <c r="H696" s="31"/>
    </row>
    <row r="697">
      <c r="A697" s="11"/>
      <c r="B697" s="36"/>
      <c r="C697" s="37"/>
      <c r="D697" s="51"/>
      <c r="E697" s="41"/>
      <c r="F697" s="41"/>
      <c r="G697" s="41"/>
      <c r="H697" s="41"/>
    </row>
    <row r="698">
      <c r="A698" s="6"/>
      <c r="B698" s="34"/>
      <c r="C698" s="35"/>
      <c r="D698" s="50"/>
      <c r="E698" s="31"/>
      <c r="F698" s="31"/>
      <c r="G698" s="31"/>
      <c r="H698" s="31"/>
    </row>
    <row r="699">
      <c r="A699" s="11"/>
      <c r="B699" s="36"/>
      <c r="C699" s="37"/>
      <c r="D699" s="51"/>
      <c r="E699" s="41"/>
      <c r="F699" s="41"/>
      <c r="G699" s="41"/>
      <c r="H699" s="41"/>
    </row>
    <row r="700">
      <c r="A700" s="6"/>
      <c r="B700" s="34"/>
      <c r="C700" s="35"/>
      <c r="D700" s="50"/>
      <c r="E700" s="31"/>
      <c r="F700" s="31"/>
      <c r="G700" s="31"/>
      <c r="H700" s="31"/>
    </row>
    <row r="701">
      <c r="A701" s="11"/>
      <c r="B701" s="36"/>
      <c r="C701" s="37"/>
      <c r="D701" s="51"/>
      <c r="E701" s="41"/>
      <c r="F701" s="41"/>
      <c r="G701" s="41"/>
      <c r="H701" s="41"/>
    </row>
    <row r="702">
      <c r="A702" s="6"/>
      <c r="B702" s="34"/>
      <c r="C702" s="35"/>
      <c r="D702" s="50"/>
      <c r="E702" s="31"/>
      <c r="F702" s="31"/>
      <c r="G702" s="31"/>
      <c r="H702" s="31"/>
    </row>
    <row r="703">
      <c r="A703" s="11"/>
      <c r="B703" s="36"/>
      <c r="C703" s="37"/>
      <c r="D703" s="51"/>
      <c r="E703" s="41"/>
      <c r="F703" s="41"/>
      <c r="G703" s="41"/>
      <c r="H703" s="41"/>
    </row>
    <row r="704">
      <c r="A704" s="6"/>
      <c r="B704" s="34"/>
      <c r="C704" s="35"/>
      <c r="D704" s="50"/>
      <c r="E704" s="31"/>
      <c r="F704" s="31"/>
      <c r="G704" s="31"/>
      <c r="H704" s="31"/>
    </row>
    <row r="705">
      <c r="A705" s="11"/>
      <c r="B705" s="36"/>
      <c r="C705" s="37"/>
      <c r="D705" s="51"/>
      <c r="E705" s="41"/>
      <c r="F705" s="41"/>
      <c r="G705" s="41"/>
      <c r="H705" s="41"/>
    </row>
    <row r="706">
      <c r="A706" s="6"/>
      <c r="B706" s="34"/>
      <c r="C706" s="35"/>
      <c r="D706" s="50"/>
      <c r="E706" s="31"/>
      <c r="F706" s="31"/>
      <c r="G706" s="31"/>
      <c r="H706" s="31"/>
    </row>
    <row r="707">
      <c r="A707" s="11"/>
      <c r="B707" s="36"/>
      <c r="C707" s="37"/>
      <c r="D707" s="51"/>
      <c r="E707" s="41"/>
      <c r="F707" s="41"/>
      <c r="G707" s="41"/>
      <c r="H707" s="41"/>
    </row>
    <row r="708">
      <c r="A708" s="6"/>
      <c r="B708" s="34"/>
      <c r="C708" s="35"/>
      <c r="D708" s="50"/>
      <c r="E708" s="31"/>
      <c r="F708" s="31"/>
      <c r="G708" s="31"/>
      <c r="H708" s="31"/>
    </row>
    <row r="709">
      <c r="A709" s="11"/>
      <c r="B709" s="36"/>
      <c r="C709" s="37"/>
      <c r="D709" s="51"/>
      <c r="E709" s="41"/>
      <c r="F709" s="41"/>
      <c r="G709" s="41"/>
      <c r="H709" s="41"/>
    </row>
    <row r="710">
      <c r="A710" s="6"/>
      <c r="B710" s="34"/>
      <c r="C710" s="35"/>
      <c r="D710" s="50"/>
      <c r="E710" s="31"/>
      <c r="F710" s="31"/>
      <c r="G710" s="31"/>
      <c r="H710" s="31"/>
    </row>
    <row r="711">
      <c r="A711" s="11"/>
      <c r="B711" s="36"/>
      <c r="C711" s="37"/>
      <c r="D711" s="51"/>
      <c r="E711" s="41"/>
      <c r="F711" s="41"/>
      <c r="G711" s="41"/>
      <c r="H711" s="41"/>
    </row>
    <row r="712">
      <c r="A712" s="6"/>
      <c r="B712" s="34"/>
      <c r="C712" s="35"/>
      <c r="D712" s="50"/>
      <c r="E712" s="31"/>
      <c r="F712" s="31"/>
      <c r="G712" s="31"/>
      <c r="H712" s="31"/>
    </row>
    <row r="713">
      <c r="A713" s="11"/>
      <c r="B713" s="36"/>
      <c r="C713" s="37"/>
      <c r="D713" s="51"/>
      <c r="E713" s="41"/>
      <c r="F713" s="41"/>
      <c r="G713" s="41"/>
      <c r="H713" s="41"/>
    </row>
    <row r="714">
      <c r="A714" s="6"/>
      <c r="B714" s="34"/>
      <c r="C714" s="35"/>
      <c r="D714" s="50"/>
      <c r="E714" s="31"/>
      <c r="F714" s="31"/>
      <c r="G714" s="31"/>
      <c r="H714" s="31"/>
    </row>
    <row r="715">
      <c r="A715" s="11"/>
      <c r="B715" s="36"/>
      <c r="C715" s="37"/>
      <c r="D715" s="51"/>
      <c r="E715" s="41"/>
      <c r="F715" s="41"/>
      <c r="G715" s="41"/>
      <c r="H715" s="41"/>
    </row>
    <row r="716">
      <c r="A716" s="6"/>
      <c r="B716" s="34"/>
      <c r="C716" s="35"/>
      <c r="D716" s="50"/>
      <c r="E716" s="31"/>
      <c r="F716" s="31"/>
      <c r="G716" s="31"/>
      <c r="H716" s="31"/>
    </row>
    <row r="717">
      <c r="A717" s="11"/>
      <c r="B717" s="36"/>
      <c r="C717" s="37"/>
      <c r="D717" s="51"/>
      <c r="E717" s="41"/>
      <c r="F717" s="41"/>
      <c r="G717" s="41"/>
      <c r="H717" s="41"/>
    </row>
    <row r="718">
      <c r="A718" s="6"/>
      <c r="B718" s="34"/>
      <c r="C718" s="35"/>
      <c r="D718" s="50"/>
      <c r="E718" s="31"/>
      <c r="F718" s="31"/>
      <c r="G718" s="31"/>
      <c r="H718" s="31"/>
    </row>
    <row r="719">
      <c r="A719" s="11"/>
      <c r="B719" s="36"/>
      <c r="C719" s="37"/>
      <c r="D719" s="51"/>
      <c r="E719" s="41"/>
      <c r="F719" s="41"/>
      <c r="G719" s="41"/>
      <c r="H719" s="41"/>
    </row>
    <row r="720">
      <c r="A720" s="6"/>
      <c r="B720" s="34"/>
      <c r="C720" s="35"/>
      <c r="D720" s="50"/>
      <c r="E720" s="31"/>
      <c r="F720" s="31"/>
      <c r="G720" s="31"/>
      <c r="H720" s="31"/>
    </row>
    <row r="721">
      <c r="A721" s="11"/>
      <c r="B721" s="36"/>
      <c r="C721" s="37"/>
      <c r="D721" s="51"/>
      <c r="E721" s="41"/>
      <c r="F721" s="41"/>
      <c r="G721" s="41"/>
      <c r="H721" s="41"/>
    </row>
    <row r="722">
      <c r="A722" s="6"/>
      <c r="B722" s="34"/>
      <c r="C722" s="35"/>
      <c r="D722" s="50"/>
      <c r="E722" s="31"/>
      <c r="F722" s="31"/>
      <c r="G722" s="31"/>
      <c r="H722" s="31"/>
    </row>
    <row r="723">
      <c r="A723" s="11"/>
      <c r="B723" s="36"/>
      <c r="C723" s="37"/>
      <c r="D723" s="51"/>
      <c r="E723" s="41"/>
      <c r="F723" s="41"/>
      <c r="G723" s="41"/>
      <c r="H723" s="41"/>
    </row>
    <row r="724">
      <c r="A724" s="6"/>
      <c r="B724" s="34"/>
      <c r="C724" s="35"/>
      <c r="D724" s="50"/>
      <c r="E724" s="31"/>
      <c r="F724" s="31"/>
      <c r="G724" s="31"/>
      <c r="H724" s="31"/>
    </row>
    <row r="725">
      <c r="A725" s="11"/>
      <c r="B725" s="36"/>
      <c r="C725" s="37"/>
      <c r="D725" s="51"/>
      <c r="E725" s="41"/>
      <c r="F725" s="41"/>
      <c r="G725" s="41"/>
      <c r="H725" s="41"/>
    </row>
    <row r="726">
      <c r="A726" s="6"/>
      <c r="B726" s="34"/>
      <c r="C726" s="35"/>
      <c r="D726" s="50"/>
      <c r="E726" s="31"/>
      <c r="F726" s="31"/>
      <c r="G726" s="31"/>
      <c r="H726" s="31"/>
    </row>
    <row r="727">
      <c r="A727" s="11"/>
      <c r="B727" s="36"/>
      <c r="C727" s="37"/>
      <c r="D727" s="51"/>
      <c r="E727" s="41"/>
      <c r="F727" s="41"/>
      <c r="G727" s="41"/>
      <c r="H727" s="41"/>
    </row>
    <row r="728">
      <c r="A728" s="6"/>
      <c r="B728" s="34"/>
      <c r="C728" s="35"/>
      <c r="D728" s="50"/>
      <c r="E728" s="31"/>
      <c r="F728" s="31"/>
      <c r="G728" s="31"/>
      <c r="H728" s="31"/>
    </row>
    <row r="729">
      <c r="A729" s="11"/>
      <c r="B729" s="36"/>
      <c r="C729" s="37"/>
      <c r="D729" s="51"/>
      <c r="E729" s="41"/>
      <c r="F729" s="41"/>
      <c r="G729" s="41"/>
      <c r="H729" s="41"/>
    </row>
    <row r="730">
      <c r="A730" s="6"/>
      <c r="B730" s="34"/>
      <c r="C730" s="35"/>
      <c r="D730" s="50"/>
      <c r="E730" s="31"/>
      <c r="F730" s="31"/>
      <c r="G730" s="31"/>
      <c r="H730" s="31"/>
    </row>
    <row r="731">
      <c r="A731" s="11"/>
      <c r="B731" s="36"/>
      <c r="C731" s="37"/>
      <c r="D731" s="51"/>
      <c r="E731" s="41"/>
      <c r="F731" s="41"/>
      <c r="G731" s="41"/>
      <c r="H731" s="41"/>
    </row>
    <row r="732">
      <c r="A732" s="6"/>
      <c r="B732" s="34"/>
      <c r="C732" s="35"/>
      <c r="D732" s="50"/>
      <c r="E732" s="31"/>
      <c r="F732" s="31"/>
      <c r="G732" s="31"/>
      <c r="H732" s="31"/>
    </row>
    <row r="733">
      <c r="A733" s="11"/>
      <c r="B733" s="36"/>
      <c r="C733" s="37"/>
      <c r="D733" s="51"/>
      <c r="E733" s="41"/>
      <c r="F733" s="41"/>
      <c r="G733" s="41"/>
      <c r="H733" s="41"/>
    </row>
    <row r="734">
      <c r="A734" s="6"/>
      <c r="B734" s="34"/>
      <c r="C734" s="35"/>
      <c r="D734" s="50"/>
      <c r="E734" s="31"/>
      <c r="F734" s="31"/>
      <c r="G734" s="31"/>
      <c r="H734" s="31"/>
    </row>
    <row r="735">
      <c r="A735" s="11"/>
      <c r="B735" s="36"/>
      <c r="C735" s="37"/>
      <c r="D735" s="51"/>
      <c r="E735" s="41"/>
      <c r="F735" s="41"/>
      <c r="G735" s="41"/>
      <c r="H735" s="41"/>
    </row>
    <row r="736">
      <c r="A736" s="6"/>
      <c r="B736" s="34"/>
      <c r="C736" s="35"/>
      <c r="D736" s="50"/>
      <c r="E736" s="31"/>
      <c r="F736" s="31"/>
      <c r="G736" s="31"/>
      <c r="H736" s="31"/>
    </row>
    <row r="737">
      <c r="A737" s="11"/>
      <c r="B737" s="36"/>
      <c r="C737" s="37"/>
      <c r="D737" s="51"/>
      <c r="E737" s="41"/>
      <c r="F737" s="41"/>
      <c r="G737" s="41"/>
      <c r="H737" s="41"/>
    </row>
    <row r="738">
      <c r="A738" s="6"/>
      <c r="B738" s="34"/>
      <c r="C738" s="35"/>
      <c r="D738" s="50"/>
      <c r="E738" s="31"/>
      <c r="F738" s="31"/>
      <c r="G738" s="31"/>
      <c r="H738" s="31"/>
    </row>
    <row r="739">
      <c r="A739" s="11"/>
      <c r="B739" s="36"/>
      <c r="C739" s="37"/>
      <c r="D739" s="51"/>
      <c r="E739" s="41"/>
      <c r="F739" s="41"/>
      <c r="G739" s="41"/>
      <c r="H739" s="41"/>
    </row>
    <row r="740">
      <c r="A740" s="6"/>
      <c r="B740" s="34"/>
      <c r="C740" s="35"/>
      <c r="D740" s="50"/>
      <c r="E740" s="31"/>
      <c r="F740" s="31"/>
      <c r="G740" s="31"/>
      <c r="H740" s="31"/>
    </row>
    <row r="741">
      <c r="A741" s="11"/>
      <c r="B741" s="36"/>
      <c r="C741" s="37"/>
      <c r="D741" s="51"/>
      <c r="E741" s="41"/>
      <c r="F741" s="41"/>
      <c r="G741" s="41"/>
      <c r="H741" s="41"/>
    </row>
    <row r="742">
      <c r="A742" s="6"/>
      <c r="B742" s="34"/>
      <c r="C742" s="35"/>
      <c r="D742" s="50"/>
      <c r="E742" s="31"/>
      <c r="F742" s="31"/>
      <c r="G742" s="31"/>
      <c r="H742" s="31"/>
    </row>
    <row r="743">
      <c r="A743" s="11"/>
      <c r="B743" s="36"/>
      <c r="C743" s="37"/>
      <c r="D743" s="51"/>
      <c r="E743" s="41"/>
      <c r="F743" s="41"/>
      <c r="G743" s="41"/>
      <c r="H743" s="41"/>
    </row>
    <row r="744">
      <c r="A744" s="6"/>
      <c r="B744" s="34"/>
      <c r="C744" s="35"/>
      <c r="D744" s="50"/>
      <c r="E744" s="31"/>
      <c r="F744" s="31"/>
      <c r="G744" s="31"/>
      <c r="H744" s="31"/>
    </row>
    <row r="745">
      <c r="A745" s="11"/>
      <c r="B745" s="36"/>
      <c r="C745" s="37"/>
      <c r="D745" s="51"/>
      <c r="E745" s="41"/>
      <c r="F745" s="41"/>
      <c r="G745" s="41"/>
      <c r="H745" s="41"/>
    </row>
    <row r="746">
      <c r="A746" s="6"/>
      <c r="B746" s="34"/>
      <c r="C746" s="35"/>
      <c r="D746" s="50"/>
      <c r="E746" s="31"/>
      <c r="F746" s="31"/>
      <c r="G746" s="31"/>
      <c r="H746" s="31"/>
    </row>
    <row r="747">
      <c r="A747" s="11"/>
      <c r="B747" s="36"/>
      <c r="C747" s="37"/>
      <c r="D747" s="51"/>
      <c r="E747" s="41"/>
      <c r="F747" s="41"/>
      <c r="G747" s="41"/>
      <c r="H747" s="41"/>
    </row>
    <row r="748">
      <c r="A748" s="6"/>
      <c r="B748" s="34"/>
      <c r="C748" s="35"/>
      <c r="D748" s="50"/>
      <c r="E748" s="31"/>
      <c r="F748" s="31"/>
      <c r="G748" s="31"/>
      <c r="H748" s="31"/>
    </row>
    <row r="749">
      <c r="A749" s="11"/>
      <c r="B749" s="36"/>
      <c r="C749" s="37"/>
      <c r="D749" s="51"/>
      <c r="E749" s="41"/>
      <c r="F749" s="41"/>
      <c r="G749" s="41"/>
      <c r="H749" s="41"/>
    </row>
    <row r="750">
      <c r="A750" s="6"/>
      <c r="B750" s="34"/>
      <c r="C750" s="35"/>
      <c r="D750" s="50"/>
      <c r="E750" s="31"/>
      <c r="F750" s="31"/>
      <c r="G750" s="31"/>
      <c r="H750" s="31"/>
    </row>
    <row r="751">
      <c r="A751" s="11"/>
      <c r="B751" s="36"/>
      <c r="C751" s="37"/>
      <c r="D751" s="51"/>
      <c r="E751" s="41"/>
      <c r="F751" s="41"/>
      <c r="G751" s="41"/>
      <c r="H751" s="41"/>
    </row>
    <row r="752">
      <c r="A752" s="6"/>
      <c r="B752" s="34"/>
      <c r="C752" s="35"/>
      <c r="D752" s="50"/>
      <c r="E752" s="31"/>
      <c r="F752" s="31"/>
      <c r="G752" s="31"/>
      <c r="H752" s="31"/>
    </row>
    <row r="753">
      <c r="A753" s="11"/>
      <c r="B753" s="36"/>
      <c r="C753" s="37"/>
      <c r="D753" s="51"/>
      <c r="E753" s="41"/>
      <c r="F753" s="41"/>
      <c r="G753" s="41"/>
      <c r="H753" s="41"/>
    </row>
    <row r="754">
      <c r="A754" s="6"/>
      <c r="B754" s="34"/>
      <c r="C754" s="35"/>
      <c r="D754" s="50"/>
      <c r="E754" s="31"/>
      <c r="F754" s="31"/>
      <c r="G754" s="31"/>
      <c r="H754" s="31"/>
    </row>
    <row r="755">
      <c r="A755" s="11"/>
      <c r="B755" s="36"/>
      <c r="C755" s="37"/>
      <c r="D755" s="51"/>
      <c r="E755" s="41"/>
      <c r="F755" s="41"/>
      <c r="G755" s="41"/>
      <c r="H755" s="41"/>
    </row>
    <row r="756">
      <c r="A756" s="6"/>
      <c r="B756" s="34"/>
      <c r="C756" s="35"/>
      <c r="D756" s="50"/>
      <c r="E756" s="31"/>
      <c r="F756" s="31"/>
      <c r="G756" s="31"/>
      <c r="H756" s="31"/>
    </row>
    <row r="757">
      <c r="A757" s="11"/>
      <c r="B757" s="36"/>
      <c r="C757" s="37"/>
      <c r="D757" s="51"/>
      <c r="E757" s="41"/>
      <c r="F757" s="41"/>
      <c r="G757" s="41"/>
      <c r="H757" s="41"/>
    </row>
    <row r="758">
      <c r="A758" s="6"/>
      <c r="B758" s="34"/>
      <c r="C758" s="35"/>
      <c r="D758" s="50"/>
      <c r="E758" s="31"/>
      <c r="F758" s="31"/>
      <c r="G758" s="31"/>
      <c r="H758" s="31"/>
    </row>
    <row r="759">
      <c r="A759" s="11"/>
      <c r="B759" s="36"/>
      <c r="C759" s="37"/>
      <c r="D759" s="51"/>
      <c r="E759" s="41"/>
      <c r="F759" s="41"/>
      <c r="G759" s="41"/>
      <c r="H759" s="41"/>
    </row>
    <row r="760">
      <c r="A760" s="6"/>
      <c r="B760" s="34"/>
      <c r="C760" s="35"/>
      <c r="D760" s="50"/>
      <c r="E760" s="31"/>
      <c r="F760" s="31"/>
      <c r="G760" s="31"/>
      <c r="H760" s="31"/>
    </row>
    <row r="761">
      <c r="A761" s="11"/>
      <c r="B761" s="36"/>
      <c r="C761" s="37"/>
      <c r="D761" s="51"/>
      <c r="E761" s="41"/>
      <c r="F761" s="41"/>
      <c r="G761" s="41"/>
      <c r="H761" s="41"/>
    </row>
    <row r="762">
      <c r="A762" s="6"/>
      <c r="B762" s="34"/>
      <c r="C762" s="35"/>
      <c r="D762" s="50"/>
      <c r="E762" s="31"/>
      <c r="F762" s="31"/>
      <c r="G762" s="31"/>
      <c r="H762" s="31"/>
    </row>
    <row r="763">
      <c r="A763" s="11"/>
      <c r="B763" s="36"/>
      <c r="C763" s="37"/>
      <c r="D763" s="51"/>
      <c r="E763" s="41"/>
      <c r="F763" s="41"/>
      <c r="G763" s="41"/>
      <c r="H763" s="41"/>
    </row>
    <row r="764">
      <c r="A764" s="6"/>
      <c r="B764" s="34"/>
      <c r="C764" s="35"/>
      <c r="D764" s="50"/>
      <c r="E764" s="31"/>
      <c r="F764" s="31"/>
      <c r="G764" s="31"/>
      <c r="H764" s="31"/>
    </row>
    <row r="765">
      <c r="A765" s="11"/>
      <c r="B765" s="36"/>
      <c r="C765" s="37"/>
      <c r="D765" s="51"/>
      <c r="E765" s="41"/>
      <c r="F765" s="41"/>
      <c r="G765" s="41"/>
      <c r="H765" s="41"/>
    </row>
    <row r="766">
      <c r="A766" s="6"/>
      <c r="B766" s="34"/>
      <c r="C766" s="35"/>
      <c r="D766" s="50"/>
      <c r="E766" s="31"/>
      <c r="F766" s="31"/>
      <c r="G766" s="31"/>
      <c r="H766" s="31"/>
    </row>
    <row r="767">
      <c r="A767" s="11"/>
      <c r="B767" s="36"/>
      <c r="C767" s="37"/>
      <c r="D767" s="51"/>
      <c r="E767" s="41"/>
      <c r="F767" s="41"/>
      <c r="G767" s="41"/>
      <c r="H767" s="41"/>
    </row>
    <row r="768">
      <c r="A768" s="6"/>
      <c r="B768" s="34"/>
      <c r="C768" s="35"/>
      <c r="D768" s="50"/>
      <c r="E768" s="31"/>
      <c r="F768" s="31"/>
      <c r="G768" s="31"/>
      <c r="H768" s="31"/>
    </row>
    <row r="769">
      <c r="A769" s="11"/>
      <c r="B769" s="36"/>
      <c r="C769" s="37"/>
      <c r="D769" s="51"/>
      <c r="E769" s="41"/>
      <c r="F769" s="41"/>
      <c r="G769" s="41"/>
      <c r="H769" s="41"/>
    </row>
    <row r="770">
      <c r="A770" s="6"/>
      <c r="B770" s="34"/>
      <c r="C770" s="35"/>
      <c r="D770" s="50"/>
      <c r="E770" s="31"/>
      <c r="F770" s="31"/>
      <c r="G770" s="31"/>
      <c r="H770" s="31"/>
    </row>
    <row r="771">
      <c r="A771" s="11"/>
      <c r="B771" s="36"/>
      <c r="C771" s="37"/>
      <c r="D771" s="51"/>
      <c r="E771" s="41"/>
      <c r="F771" s="41"/>
      <c r="G771" s="41"/>
      <c r="H771" s="41"/>
    </row>
    <row r="772">
      <c r="A772" s="6"/>
      <c r="B772" s="34"/>
      <c r="C772" s="35"/>
      <c r="D772" s="50"/>
      <c r="E772" s="31"/>
      <c r="F772" s="31"/>
      <c r="G772" s="31"/>
      <c r="H772" s="31"/>
    </row>
    <row r="773">
      <c r="A773" s="11"/>
      <c r="B773" s="36"/>
      <c r="C773" s="37"/>
      <c r="D773" s="51"/>
      <c r="E773" s="41"/>
      <c r="F773" s="41"/>
      <c r="G773" s="41"/>
      <c r="H773" s="41"/>
    </row>
    <row r="774">
      <c r="A774" s="6"/>
      <c r="B774" s="34"/>
      <c r="C774" s="35"/>
      <c r="D774" s="50"/>
      <c r="E774" s="31"/>
      <c r="F774" s="31"/>
      <c r="G774" s="31"/>
      <c r="H774" s="31"/>
    </row>
    <row r="775">
      <c r="A775" s="11"/>
      <c r="B775" s="36"/>
      <c r="C775" s="37"/>
      <c r="D775" s="51"/>
      <c r="E775" s="41"/>
      <c r="F775" s="41"/>
      <c r="G775" s="41"/>
      <c r="H775" s="41"/>
    </row>
    <row r="776">
      <c r="A776" s="6"/>
      <c r="B776" s="34"/>
      <c r="C776" s="35"/>
      <c r="D776" s="50"/>
      <c r="E776" s="31"/>
      <c r="F776" s="31"/>
      <c r="G776" s="31"/>
      <c r="H776" s="31"/>
    </row>
    <row r="777">
      <c r="A777" s="11"/>
      <c r="B777" s="36"/>
      <c r="C777" s="37"/>
      <c r="D777" s="51"/>
      <c r="E777" s="41"/>
      <c r="F777" s="41"/>
      <c r="G777" s="41"/>
      <c r="H777" s="41"/>
    </row>
    <row r="778">
      <c r="A778" s="6"/>
      <c r="B778" s="34"/>
      <c r="C778" s="35"/>
      <c r="D778" s="50"/>
      <c r="E778" s="31"/>
      <c r="F778" s="31"/>
      <c r="G778" s="31"/>
      <c r="H778" s="31"/>
    </row>
    <row r="779">
      <c r="A779" s="11"/>
      <c r="B779" s="36"/>
      <c r="C779" s="37"/>
      <c r="D779" s="51"/>
      <c r="E779" s="41"/>
      <c r="F779" s="41"/>
      <c r="G779" s="41"/>
      <c r="H779" s="41"/>
    </row>
    <row r="780">
      <c r="A780" s="6"/>
      <c r="B780" s="34"/>
      <c r="C780" s="35"/>
      <c r="D780" s="50"/>
      <c r="E780" s="31"/>
      <c r="F780" s="31"/>
      <c r="G780" s="31"/>
      <c r="H780" s="31"/>
    </row>
    <row r="781">
      <c r="A781" s="11"/>
      <c r="B781" s="36"/>
      <c r="C781" s="37"/>
      <c r="D781" s="51"/>
      <c r="E781" s="41"/>
      <c r="F781" s="41"/>
      <c r="G781" s="41"/>
      <c r="H781" s="41"/>
    </row>
    <row r="782">
      <c r="A782" s="6"/>
      <c r="B782" s="34"/>
      <c r="C782" s="35"/>
      <c r="D782" s="50"/>
      <c r="E782" s="31"/>
      <c r="F782" s="31"/>
      <c r="G782" s="31"/>
      <c r="H782" s="31"/>
    </row>
    <row r="783">
      <c r="A783" s="11"/>
      <c r="B783" s="36"/>
      <c r="C783" s="37"/>
      <c r="D783" s="51"/>
      <c r="E783" s="41"/>
      <c r="F783" s="41"/>
      <c r="G783" s="41"/>
      <c r="H783" s="41"/>
    </row>
    <row r="784">
      <c r="A784" s="6"/>
      <c r="B784" s="34"/>
      <c r="C784" s="35"/>
      <c r="D784" s="50"/>
      <c r="E784" s="31"/>
      <c r="F784" s="31"/>
      <c r="G784" s="31"/>
      <c r="H784" s="31"/>
    </row>
    <row r="785">
      <c r="A785" s="11"/>
      <c r="B785" s="36"/>
      <c r="C785" s="37"/>
      <c r="D785" s="51"/>
      <c r="E785" s="41"/>
      <c r="F785" s="41"/>
      <c r="G785" s="41"/>
      <c r="H785" s="41"/>
    </row>
    <row r="786">
      <c r="A786" s="6"/>
      <c r="B786" s="34"/>
      <c r="C786" s="35"/>
      <c r="D786" s="50"/>
      <c r="E786" s="31"/>
      <c r="F786" s="31"/>
      <c r="G786" s="31"/>
      <c r="H786" s="31"/>
    </row>
    <row r="787">
      <c r="A787" s="11"/>
      <c r="B787" s="36"/>
      <c r="C787" s="37"/>
      <c r="D787" s="51"/>
      <c r="E787" s="41"/>
      <c r="F787" s="41"/>
      <c r="G787" s="41"/>
      <c r="H787" s="41"/>
    </row>
    <row r="788">
      <c r="A788" s="6"/>
      <c r="B788" s="34"/>
      <c r="C788" s="35"/>
      <c r="D788" s="50"/>
      <c r="E788" s="31"/>
      <c r="F788" s="31"/>
      <c r="G788" s="31"/>
      <c r="H788" s="31"/>
    </row>
    <row r="789">
      <c r="A789" s="11"/>
      <c r="B789" s="36"/>
      <c r="C789" s="37"/>
      <c r="D789" s="51"/>
      <c r="E789" s="41"/>
      <c r="F789" s="41"/>
      <c r="G789" s="41"/>
      <c r="H789" s="41"/>
    </row>
    <row r="790">
      <c r="A790" s="6"/>
      <c r="B790" s="34"/>
      <c r="C790" s="35"/>
      <c r="D790" s="50"/>
      <c r="E790" s="31"/>
      <c r="F790" s="31"/>
      <c r="G790" s="31"/>
      <c r="H790" s="31"/>
    </row>
    <row r="791">
      <c r="A791" s="11"/>
      <c r="B791" s="36"/>
      <c r="C791" s="37"/>
      <c r="D791" s="51"/>
      <c r="E791" s="41"/>
      <c r="F791" s="41"/>
      <c r="G791" s="41"/>
      <c r="H791" s="41"/>
    </row>
    <row r="792">
      <c r="A792" s="6"/>
      <c r="B792" s="34"/>
      <c r="C792" s="35"/>
      <c r="D792" s="50"/>
      <c r="E792" s="31"/>
      <c r="F792" s="31"/>
      <c r="G792" s="31"/>
      <c r="H792" s="31"/>
    </row>
    <row r="793">
      <c r="A793" s="11"/>
      <c r="B793" s="36"/>
      <c r="C793" s="37"/>
      <c r="D793" s="51"/>
      <c r="E793" s="41"/>
      <c r="F793" s="41"/>
      <c r="G793" s="41"/>
      <c r="H793" s="41"/>
    </row>
    <row r="794">
      <c r="A794" s="6"/>
      <c r="B794" s="34"/>
      <c r="C794" s="35"/>
      <c r="D794" s="50"/>
      <c r="E794" s="31"/>
      <c r="F794" s="31"/>
      <c r="G794" s="31"/>
      <c r="H794" s="31"/>
    </row>
    <row r="795">
      <c r="A795" s="11"/>
      <c r="B795" s="36"/>
      <c r="C795" s="37"/>
      <c r="D795" s="51"/>
      <c r="E795" s="41"/>
      <c r="F795" s="41"/>
      <c r="G795" s="41"/>
      <c r="H795" s="41"/>
    </row>
    <row r="796">
      <c r="A796" s="6"/>
      <c r="B796" s="34"/>
      <c r="C796" s="35"/>
      <c r="D796" s="50"/>
      <c r="E796" s="31"/>
      <c r="F796" s="31"/>
      <c r="G796" s="31"/>
      <c r="H796" s="31"/>
    </row>
    <row r="797">
      <c r="A797" s="11"/>
      <c r="B797" s="36"/>
      <c r="C797" s="37"/>
      <c r="D797" s="51"/>
      <c r="E797" s="41"/>
      <c r="F797" s="41"/>
      <c r="G797" s="41"/>
      <c r="H797" s="41"/>
    </row>
    <row r="798">
      <c r="A798" s="6"/>
      <c r="B798" s="34"/>
      <c r="C798" s="35"/>
      <c r="D798" s="50"/>
      <c r="E798" s="31"/>
      <c r="F798" s="31"/>
      <c r="G798" s="31"/>
      <c r="H798" s="31"/>
    </row>
    <row r="799">
      <c r="A799" s="11"/>
      <c r="B799" s="36"/>
      <c r="C799" s="37"/>
      <c r="D799" s="51"/>
      <c r="E799" s="41"/>
      <c r="F799" s="41"/>
      <c r="G799" s="41"/>
      <c r="H799" s="41"/>
    </row>
    <row r="800">
      <c r="A800" s="6"/>
      <c r="B800" s="34"/>
      <c r="C800" s="35"/>
      <c r="D800" s="50"/>
      <c r="E800" s="31"/>
      <c r="F800" s="31"/>
      <c r="G800" s="31"/>
      <c r="H800" s="31"/>
    </row>
    <row r="801">
      <c r="A801" s="11"/>
      <c r="B801" s="36"/>
      <c r="C801" s="37"/>
      <c r="D801" s="51"/>
      <c r="E801" s="41"/>
      <c r="F801" s="41"/>
      <c r="G801" s="41"/>
      <c r="H801" s="41"/>
    </row>
    <row r="802">
      <c r="A802" s="6"/>
      <c r="B802" s="34"/>
      <c r="C802" s="35"/>
      <c r="D802" s="50"/>
      <c r="E802" s="31"/>
      <c r="F802" s="31"/>
      <c r="G802" s="31"/>
      <c r="H802" s="31"/>
    </row>
    <row r="803">
      <c r="A803" s="11"/>
      <c r="B803" s="36"/>
      <c r="C803" s="37"/>
      <c r="D803" s="51"/>
      <c r="E803" s="41"/>
      <c r="F803" s="41"/>
      <c r="G803" s="41"/>
      <c r="H803" s="41"/>
    </row>
    <row r="804">
      <c r="A804" s="6"/>
      <c r="B804" s="34"/>
      <c r="C804" s="35"/>
      <c r="D804" s="50"/>
      <c r="E804" s="31"/>
      <c r="F804" s="31"/>
      <c r="G804" s="31"/>
      <c r="H804" s="31"/>
    </row>
    <row r="805">
      <c r="A805" s="11"/>
      <c r="B805" s="36"/>
      <c r="C805" s="37"/>
      <c r="D805" s="51"/>
      <c r="E805" s="41"/>
      <c r="F805" s="41"/>
      <c r="G805" s="41"/>
      <c r="H805" s="41"/>
    </row>
    <row r="806">
      <c r="A806" s="6"/>
      <c r="B806" s="34"/>
      <c r="C806" s="35"/>
      <c r="D806" s="50"/>
      <c r="E806" s="31"/>
      <c r="F806" s="31"/>
      <c r="G806" s="31"/>
      <c r="H806" s="31"/>
    </row>
    <row r="807">
      <c r="A807" s="11"/>
      <c r="B807" s="36"/>
      <c r="C807" s="37"/>
      <c r="D807" s="51"/>
      <c r="E807" s="41"/>
      <c r="F807" s="41"/>
      <c r="G807" s="41"/>
      <c r="H807" s="41"/>
    </row>
    <row r="808">
      <c r="A808" s="6"/>
      <c r="B808" s="34"/>
      <c r="C808" s="35"/>
      <c r="D808" s="50"/>
      <c r="E808" s="31"/>
      <c r="F808" s="31"/>
      <c r="G808" s="31"/>
      <c r="H808" s="31"/>
    </row>
    <row r="809">
      <c r="A809" s="11"/>
      <c r="B809" s="36"/>
      <c r="C809" s="37"/>
      <c r="D809" s="51"/>
      <c r="E809" s="41"/>
      <c r="F809" s="41"/>
      <c r="G809" s="41"/>
      <c r="H809" s="41"/>
    </row>
    <row r="810">
      <c r="A810" s="6"/>
      <c r="B810" s="34"/>
      <c r="C810" s="35"/>
      <c r="D810" s="50"/>
      <c r="E810" s="31"/>
      <c r="F810" s="31"/>
      <c r="G810" s="31"/>
      <c r="H810" s="31"/>
    </row>
    <row r="811">
      <c r="A811" s="11"/>
      <c r="B811" s="36"/>
      <c r="C811" s="37"/>
      <c r="D811" s="51"/>
      <c r="E811" s="41"/>
      <c r="F811" s="41"/>
      <c r="G811" s="41"/>
      <c r="H811" s="41"/>
    </row>
    <row r="812">
      <c r="A812" s="6"/>
      <c r="B812" s="34"/>
      <c r="C812" s="35"/>
      <c r="D812" s="50"/>
      <c r="E812" s="31"/>
      <c r="F812" s="31"/>
      <c r="G812" s="31"/>
      <c r="H812" s="31"/>
    </row>
    <row r="813">
      <c r="A813" s="11"/>
      <c r="B813" s="36"/>
      <c r="C813" s="37"/>
      <c r="D813" s="51"/>
      <c r="E813" s="41"/>
      <c r="F813" s="41"/>
      <c r="G813" s="41"/>
      <c r="H813" s="41"/>
    </row>
    <row r="814">
      <c r="A814" s="6"/>
      <c r="B814" s="34"/>
      <c r="C814" s="35"/>
      <c r="D814" s="50"/>
      <c r="E814" s="31"/>
      <c r="F814" s="31"/>
      <c r="G814" s="31"/>
      <c r="H814" s="31"/>
    </row>
    <row r="815">
      <c r="A815" s="11"/>
      <c r="B815" s="36"/>
      <c r="C815" s="37"/>
      <c r="D815" s="51"/>
      <c r="E815" s="41"/>
      <c r="F815" s="41"/>
      <c r="G815" s="41"/>
      <c r="H815" s="41"/>
    </row>
    <row r="816">
      <c r="A816" s="6"/>
      <c r="B816" s="34"/>
      <c r="C816" s="35"/>
      <c r="D816" s="50"/>
      <c r="E816" s="31"/>
      <c r="F816" s="31"/>
      <c r="G816" s="31"/>
      <c r="H816" s="31"/>
    </row>
    <row r="817">
      <c r="A817" s="11"/>
      <c r="B817" s="36"/>
      <c r="C817" s="37"/>
      <c r="D817" s="51"/>
      <c r="E817" s="41"/>
      <c r="F817" s="41"/>
      <c r="G817" s="41"/>
      <c r="H817" s="41"/>
    </row>
    <row r="818">
      <c r="A818" s="6"/>
      <c r="B818" s="34"/>
      <c r="C818" s="35"/>
      <c r="D818" s="50"/>
      <c r="E818" s="31"/>
      <c r="F818" s="31"/>
      <c r="G818" s="31"/>
      <c r="H818" s="31"/>
    </row>
    <row r="819">
      <c r="A819" s="11"/>
      <c r="B819" s="36"/>
      <c r="C819" s="37"/>
      <c r="D819" s="51"/>
      <c r="E819" s="41"/>
      <c r="F819" s="41"/>
      <c r="G819" s="41"/>
      <c r="H819" s="41"/>
    </row>
    <row r="820">
      <c r="A820" s="6"/>
      <c r="B820" s="34"/>
      <c r="C820" s="35"/>
      <c r="D820" s="50"/>
      <c r="E820" s="31"/>
      <c r="F820" s="31"/>
      <c r="G820" s="31"/>
      <c r="H820" s="31"/>
    </row>
    <row r="821">
      <c r="A821" s="11"/>
      <c r="B821" s="36"/>
      <c r="C821" s="37"/>
      <c r="D821" s="51"/>
      <c r="E821" s="41"/>
      <c r="F821" s="41"/>
      <c r="G821" s="41"/>
      <c r="H821" s="41"/>
    </row>
    <row r="822">
      <c r="A822" s="6"/>
      <c r="B822" s="34"/>
      <c r="C822" s="35"/>
      <c r="D822" s="50"/>
      <c r="E822" s="31"/>
      <c r="F822" s="31"/>
      <c r="G822" s="31"/>
      <c r="H822" s="31"/>
    </row>
    <row r="823">
      <c r="A823" s="11"/>
      <c r="B823" s="36"/>
      <c r="C823" s="37"/>
      <c r="D823" s="51"/>
      <c r="E823" s="41"/>
      <c r="F823" s="41"/>
      <c r="G823" s="41"/>
      <c r="H823" s="41"/>
    </row>
    <row r="824">
      <c r="A824" s="6"/>
      <c r="B824" s="34"/>
      <c r="C824" s="35"/>
      <c r="D824" s="50"/>
      <c r="E824" s="31"/>
      <c r="F824" s="31"/>
      <c r="G824" s="31"/>
      <c r="H824" s="31"/>
    </row>
    <row r="825">
      <c r="A825" s="11"/>
      <c r="B825" s="36"/>
      <c r="C825" s="37"/>
      <c r="D825" s="51"/>
      <c r="E825" s="41"/>
      <c r="F825" s="41"/>
      <c r="G825" s="41"/>
      <c r="H825" s="41"/>
    </row>
    <row r="826">
      <c r="A826" s="6"/>
      <c r="B826" s="34"/>
      <c r="C826" s="35"/>
      <c r="D826" s="50"/>
      <c r="E826" s="31"/>
      <c r="F826" s="31"/>
      <c r="G826" s="31"/>
      <c r="H826" s="31"/>
    </row>
    <row r="827">
      <c r="A827" s="11"/>
      <c r="B827" s="36"/>
      <c r="C827" s="37"/>
      <c r="D827" s="51"/>
      <c r="E827" s="41"/>
      <c r="F827" s="41"/>
      <c r="G827" s="41"/>
      <c r="H827" s="41"/>
    </row>
    <row r="828">
      <c r="A828" s="6"/>
      <c r="B828" s="34"/>
      <c r="C828" s="35"/>
      <c r="D828" s="50"/>
      <c r="E828" s="31"/>
      <c r="F828" s="31"/>
      <c r="G828" s="31"/>
      <c r="H828" s="31"/>
    </row>
    <row r="829">
      <c r="A829" s="11"/>
      <c r="B829" s="36"/>
      <c r="C829" s="37"/>
      <c r="D829" s="51"/>
      <c r="E829" s="41"/>
      <c r="F829" s="41"/>
      <c r="G829" s="41"/>
      <c r="H829" s="41"/>
    </row>
    <row r="830">
      <c r="A830" s="6"/>
      <c r="B830" s="34"/>
      <c r="C830" s="35"/>
      <c r="D830" s="50"/>
      <c r="E830" s="31"/>
      <c r="F830" s="31"/>
      <c r="G830" s="31"/>
      <c r="H830" s="31"/>
    </row>
    <row r="831">
      <c r="A831" s="11"/>
      <c r="B831" s="36"/>
      <c r="C831" s="37"/>
      <c r="D831" s="51"/>
      <c r="E831" s="41"/>
      <c r="F831" s="41"/>
      <c r="G831" s="41"/>
      <c r="H831" s="41"/>
    </row>
    <row r="832">
      <c r="A832" s="6"/>
      <c r="B832" s="34"/>
      <c r="C832" s="35"/>
      <c r="D832" s="50"/>
      <c r="E832" s="31"/>
      <c r="F832" s="31"/>
      <c r="G832" s="31"/>
      <c r="H832" s="31"/>
    </row>
    <row r="833">
      <c r="A833" s="11"/>
      <c r="B833" s="36"/>
      <c r="C833" s="37"/>
      <c r="D833" s="51"/>
      <c r="E833" s="41"/>
      <c r="F833" s="41"/>
      <c r="G833" s="41"/>
      <c r="H833" s="41"/>
    </row>
    <row r="834">
      <c r="A834" s="6"/>
      <c r="B834" s="34"/>
      <c r="C834" s="35"/>
      <c r="D834" s="50"/>
      <c r="E834" s="31"/>
      <c r="F834" s="31"/>
      <c r="G834" s="31"/>
      <c r="H834" s="31"/>
    </row>
    <row r="835">
      <c r="A835" s="11"/>
      <c r="B835" s="36"/>
      <c r="C835" s="37"/>
      <c r="D835" s="51"/>
      <c r="E835" s="41"/>
      <c r="F835" s="41"/>
      <c r="G835" s="41"/>
      <c r="H835" s="41"/>
    </row>
    <row r="836">
      <c r="A836" s="6"/>
      <c r="B836" s="34"/>
      <c r="C836" s="35"/>
      <c r="D836" s="50"/>
      <c r="E836" s="31"/>
      <c r="F836" s="31"/>
      <c r="G836" s="31"/>
      <c r="H836" s="31"/>
    </row>
    <row r="837">
      <c r="A837" s="11"/>
      <c r="B837" s="36"/>
      <c r="C837" s="37"/>
      <c r="D837" s="51"/>
      <c r="E837" s="41"/>
      <c r="F837" s="41"/>
      <c r="G837" s="41"/>
      <c r="H837" s="41"/>
    </row>
    <row r="838">
      <c r="A838" s="6"/>
      <c r="B838" s="34"/>
      <c r="C838" s="35"/>
      <c r="D838" s="50"/>
      <c r="E838" s="31"/>
      <c r="F838" s="31"/>
      <c r="G838" s="31"/>
      <c r="H838" s="31"/>
    </row>
    <row r="839">
      <c r="A839" s="11"/>
      <c r="B839" s="36"/>
      <c r="C839" s="37"/>
      <c r="D839" s="51"/>
      <c r="E839" s="41"/>
      <c r="F839" s="41"/>
      <c r="G839" s="41"/>
      <c r="H839" s="41"/>
    </row>
    <row r="840">
      <c r="A840" s="6"/>
      <c r="B840" s="34"/>
      <c r="C840" s="35"/>
      <c r="D840" s="50"/>
      <c r="E840" s="31"/>
      <c r="F840" s="31"/>
      <c r="G840" s="31"/>
      <c r="H840" s="31"/>
    </row>
    <row r="841">
      <c r="A841" s="11"/>
      <c r="B841" s="36"/>
      <c r="C841" s="37"/>
      <c r="D841" s="51"/>
      <c r="E841" s="41"/>
      <c r="F841" s="41"/>
      <c r="G841" s="41"/>
      <c r="H841" s="41"/>
    </row>
    <row r="842">
      <c r="A842" s="6"/>
      <c r="B842" s="34"/>
      <c r="C842" s="35"/>
      <c r="D842" s="50"/>
      <c r="E842" s="31"/>
      <c r="F842" s="31"/>
      <c r="G842" s="31"/>
      <c r="H842" s="31"/>
    </row>
    <row r="843">
      <c r="A843" s="11"/>
      <c r="B843" s="36"/>
      <c r="C843" s="37"/>
      <c r="D843" s="51"/>
      <c r="E843" s="41"/>
      <c r="F843" s="41"/>
      <c r="G843" s="41"/>
      <c r="H843" s="41"/>
    </row>
    <row r="844">
      <c r="A844" s="6"/>
      <c r="B844" s="34"/>
      <c r="C844" s="35"/>
      <c r="D844" s="50"/>
      <c r="E844" s="31"/>
      <c r="F844" s="31"/>
      <c r="G844" s="31"/>
      <c r="H844" s="31"/>
    </row>
    <row r="845">
      <c r="A845" s="11"/>
      <c r="B845" s="36"/>
      <c r="C845" s="37"/>
      <c r="D845" s="51"/>
      <c r="E845" s="41"/>
      <c r="F845" s="41"/>
      <c r="G845" s="41"/>
      <c r="H845" s="41"/>
    </row>
    <row r="846">
      <c r="A846" s="6"/>
      <c r="B846" s="34"/>
      <c r="C846" s="35"/>
      <c r="D846" s="50"/>
      <c r="E846" s="31"/>
      <c r="F846" s="31"/>
      <c r="G846" s="31"/>
      <c r="H846" s="31"/>
    </row>
    <row r="847">
      <c r="A847" s="11"/>
      <c r="B847" s="36"/>
      <c r="C847" s="37"/>
      <c r="D847" s="51"/>
      <c r="E847" s="41"/>
      <c r="F847" s="41"/>
      <c r="G847" s="41"/>
      <c r="H847" s="41"/>
    </row>
    <row r="848">
      <c r="A848" s="6"/>
      <c r="B848" s="34"/>
      <c r="C848" s="35"/>
      <c r="D848" s="50"/>
      <c r="E848" s="31"/>
      <c r="F848" s="31"/>
      <c r="G848" s="31"/>
      <c r="H848" s="31"/>
    </row>
    <row r="849">
      <c r="A849" s="11"/>
      <c r="B849" s="36"/>
      <c r="C849" s="37"/>
      <c r="D849" s="51"/>
      <c r="E849" s="41"/>
      <c r="F849" s="41"/>
      <c r="G849" s="41"/>
      <c r="H849" s="41"/>
    </row>
    <row r="850">
      <c r="A850" s="6"/>
      <c r="B850" s="34"/>
      <c r="C850" s="35"/>
      <c r="D850" s="50"/>
      <c r="E850" s="31"/>
      <c r="F850" s="31"/>
      <c r="G850" s="31"/>
      <c r="H850" s="31"/>
    </row>
    <row r="851">
      <c r="A851" s="11"/>
      <c r="B851" s="36"/>
      <c r="C851" s="37"/>
      <c r="D851" s="51"/>
      <c r="E851" s="41"/>
      <c r="F851" s="41"/>
      <c r="G851" s="41"/>
      <c r="H851" s="41"/>
    </row>
    <row r="852">
      <c r="A852" s="6"/>
      <c r="B852" s="34"/>
      <c r="C852" s="35"/>
      <c r="D852" s="50"/>
      <c r="E852" s="31"/>
      <c r="F852" s="31"/>
      <c r="G852" s="31"/>
      <c r="H852" s="31"/>
    </row>
    <row r="853">
      <c r="A853" s="11"/>
      <c r="B853" s="36"/>
      <c r="C853" s="37"/>
      <c r="D853" s="51"/>
      <c r="E853" s="41"/>
      <c r="F853" s="41"/>
      <c r="G853" s="41"/>
      <c r="H853" s="41"/>
    </row>
    <row r="854">
      <c r="A854" s="6"/>
      <c r="B854" s="34"/>
      <c r="C854" s="35"/>
      <c r="D854" s="50"/>
      <c r="E854" s="31"/>
      <c r="F854" s="31"/>
      <c r="G854" s="31"/>
      <c r="H854" s="31"/>
    </row>
    <row r="855">
      <c r="A855" s="11"/>
      <c r="B855" s="36"/>
      <c r="C855" s="37"/>
      <c r="D855" s="51"/>
      <c r="E855" s="41"/>
      <c r="F855" s="41"/>
      <c r="G855" s="41"/>
      <c r="H855" s="41"/>
    </row>
    <row r="856">
      <c r="A856" s="6"/>
      <c r="B856" s="34"/>
      <c r="C856" s="35"/>
      <c r="D856" s="50"/>
      <c r="E856" s="31"/>
      <c r="F856" s="31"/>
      <c r="G856" s="31"/>
      <c r="H856" s="31"/>
    </row>
    <row r="857">
      <c r="A857" s="11"/>
      <c r="B857" s="36"/>
      <c r="C857" s="37"/>
      <c r="D857" s="51"/>
      <c r="E857" s="41"/>
      <c r="F857" s="41"/>
      <c r="G857" s="41"/>
      <c r="H857" s="41"/>
    </row>
    <row r="858">
      <c r="A858" s="6"/>
      <c r="B858" s="34"/>
      <c r="C858" s="35"/>
      <c r="D858" s="50"/>
      <c r="E858" s="31"/>
      <c r="F858" s="31"/>
      <c r="G858" s="31"/>
      <c r="H858" s="31"/>
    </row>
    <row r="859">
      <c r="A859" s="11"/>
      <c r="B859" s="36"/>
      <c r="C859" s="37"/>
      <c r="D859" s="51"/>
      <c r="E859" s="41"/>
      <c r="F859" s="41"/>
      <c r="G859" s="41"/>
      <c r="H859" s="41"/>
    </row>
    <row r="860">
      <c r="A860" s="6"/>
      <c r="B860" s="34"/>
      <c r="C860" s="35"/>
      <c r="D860" s="50"/>
      <c r="E860" s="31"/>
      <c r="F860" s="31"/>
      <c r="G860" s="31"/>
      <c r="H860" s="31"/>
    </row>
    <row r="861">
      <c r="A861" s="11"/>
      <c r="B861" s="36"/>
      <c r="C861" s="37"/>
      <c r="D861" s="51"/>
      <c r="E861" s="41"/>
      <c r="F861" s="41"/>
      <c r="G861" s="41"/>
      <c r="H861" s="41"/>
    </row>
    <row r="862">
      <c r="A862" s="6"/>
      <c r="B862" s="34"/>
      <c r="C862" s="35"/>
      <c r="D862" s="50"/>
      <c r="E862" s="31"/>
      <c r="F862" s="31"/>
      <c r="G862" s="31"/>
      <c r="H862" s="31"/>
    </row>
    <row r="863">
      <c r="A863" s="11"/>
      <c r="B863" s="36"/>
      <c r="C863" s="37"/>
      <c r="D863" s="51"/>
      <c r="E863" s="41"/>
      <c r="F863" s="41"/>
      <c r="G863" s="41"/>
      <c r="H863" s="41"/>
    </row>
    <row r="864">
      <c r="A864" s="6"/>
      <c r="B864" s="34"/>
      <c r="C864" s="35"/>
      <c r="D864" s="50"/>
      <c r="E864" s="31"/>
      <c r="F864" s="31"/>
      <c r="G864" s="31"/>
      <c r="H864" s="31"/>
    </row>
    <row r="865">
      <c r="A865" s="11"/>
      <c r="B865" s="36"/>
      <c r="C865" s="37"/>
      <c r="D865" s="51"/>
      <c r="E865" s="41"/>
      <c r="F865" s="41"/>
      <c r="G865" s="41"/>
      <c r="H865" s="41"/>
    </row>
    <row r="866">
      <c r="A866" s="6"/>
      <c r="B866" s="34"/>
      <c r="C866" s="35"/>
      <c r="D866" s="50"/>
      <c r="E866" s="31"/>
      <c r="F866" s="31"/>
      <c r="G866" s="31"/>
      <c r="H866" s="31"/>
    </row>
    <row r="867">
      <c r="A867" s="11"/>
      <c r="B867" s="36"/>
      <c r="C867" s="37"/>
      <c r="D867" s="51"/>
      <c r="E867" s="41"/>
      <c r="F867" s="41"/>
      <c r="G867" s="41"/>
      <c r="H867" s="41"/>
    </row>
    <row r="868">
      <c r="A868" s="6"/>
      <c r="B868" s="34"/>
      <c r="C868" s="35"/>
      <c r="D868" s="50"/>
      <c r="E868" s="31"/>
      <c r="F868" s="31"/>
      <c r="G868" s="31"/>
      <c r="H868" s="31"/>
    </row>
    <row r="869">
      <c r="A869" s="11"/>
      <c r="B869" s="36"/>
      <c r="C869" s="37"/>
      <c r="D869" s="51"/>
      <c r="E869" s="41"/>
      <c r="F869" s="41"/>
      <c r="G869" s="41"/>
      <c r="H869" s="41"/>
    </row>
    <row r="870">
      <c r="A870" s="6"/>
      <c r="B870" s="34"/>
      <c r="C870" s="35"/>
      <c r="D870" s="50"/>
      <c r="E870" s="31"/>
      <c r="F870" s="31"/>
      <c r="G870" s="31"/>
      <c r="H870" s="31"/>
    </row>
    <row r="871">
      <c r="A871" s="11"/>
      <c r="B871" s="36"/>
      <c r="C871" s="37"/>
      <c r="D871" s="51"/>
      <c r="E871" s="41"/>
      <c r="F871" s="41"/>
      <c r="G871" s="41"/>
      <c r="H871" s="41"/>
    </row>
    <row r="872">
      <c r="A872" s="6"/>
      <c r="B872" s="34"/>
      <c r="C872" s="35"/>
      <c r="D872" s="50"/>
      <c r="E872" s="31"/>
      <c r="F872" s="31"/>
      <c r="G872" s="31"/>
      <c r="H872" s="31"/>
    </row>
    <row r="873">
      <c r="A873" s="11"/>
      <c r="B873" s="36"/>
      <c r="C873" s="37"/>
      <c r="D873" s="51"/>
      <c r="E873" s="41"/>
      <c r="F873" s="41"/>
      <c r="G873" s="41"/>
      <c r="H873" s="41"/>
    </row>
    <row r="874">
      <c r="A874" s="6"/>
      <c r="B874" s="34"/>
      <c r="C874" s="35"/>
      <c r="D874" s="50"/>
      <c r="E874" s="31"/>
      <c r="F874" s="31"/>
      <c r="G874" s="31"/>
      <c r="H874" s="31"/>
    </row>
    <row r="875">
      <c r="A875" s="11"/>
      <c r="B875" s="36"/>
      <c r="C875" s="37"/>
      <c r="D875" s="51"/>
      <c r="E875" s="41"/>
      <c r="F875" s="41"/>
      <c r="G875" s="41"/>
      <c r="H875" s="41"/>
    </row>
    <row r="876">
      <c r="A876" s="6"/>
      <c r="B876" s="34"/>
      <c r="C876" s="35"/>
      <c r="D876" s="50"/>
      <c r="E876" s="31"/>
      <c r="F876" s="31"/>
      <c r="G876" s="31"/>
      <c r="H876" s="31"/>
    </row>
    <row r="877">
      <c r="A877" s="11"/>
      <c r="B877" s="36"/>
      <c r="C877" s="37"/>
      <c r="D877" s="51"/>
      <c r="E877" s="41"/>
      <c r="F877" s="41"/>
      <c r="G877" s="41"/>
      <c r="H877" s="41"/>
    </row>
    <row r="878">
      <c r="A878" s="6"/>
      <c r="B878" s="34"/>
      <c r="C878" s="35"/>
      <c r="D878" s="50"/>
      <c r="E878" s="31"/>
      <c r="F878" s="31"/>
      <c r="G878" s="31"/>
      <c r="H878" s="31"/>
    </row>
    <row r="879">
      <c r="A879" s="11"/>
      <c r="B879" s="36"/>
      <c r="C879" s="37"/>
      <c r="D879" s="51"/>
      <c r="E879" s="41"/>
      <c r="F879" s="41"/>
      <c r="G879" s="41"/>
      <c r="H879" s="41"/>
    </row>
    <row r="880">
      <c r="A880" s="6"/>
      <c r="B880" s="34"/>
      <c r="C880" s="35"/>
      <c r="D880" s="50"/>
      <c r="E880" s="31"/>
      <c r="F880" s="31"/>
      <c r="G880" s="31"/>
      <c r="H880" s="31"/>
    </row>
    <row r="881">
      <c r="A881" s="11"/>
      <c r="B881" s="36"/>
      <c r="C881" s="37"/>
      <c r="D881" s="51"/>
      <c r="E881" s="41"/>
      <c r="F881" s="41"/>
      <c r="G881" s="41"/>
      <c r="H881" s="41"/>
    </row>
    <row r="882">
      <c r="A882" s="6"/>
      <c r="B882" s="34"/>
      <c r="C882" s="35"/>
      <c r="D882" s="50"/>
      <c r="E882" s="31"/>
      <c r="F882" s="31"/>
      <c r="G882" s="31"/>
      <c r="H882" s="31"/>
    </row>
    <row r="883">
      <c r="A883" s="11"/>
      <c r="B883" s="36"/>
      <c r="C883" s="37"/>
      <c r="D883" s="51"/>
      <c r="E883" s="41"/>
      <c r="F883" s="41"/>
      <c r="G883" s="41"/>
      <c r="H883" s="41"/>
    </row>
    <row r="884">
      <c r="A884" s="6"/>
      <c r="B884" s="34"/>
      <c r="C884" s="35"/>
      <c r="D884" s="50"/>
      <c r="E884" s="31"/>
      <c r="F884" s="31"/>
      <c r="G884" s="31"/>
      <c r="H884" s="31"/>
    </row>
    <row r="885">
      <c r="A885" s="11"/>
      <c r="B885" s="36"/>
      <c r="C885" s="37"/>
      <c r="D885" s="51"/>
      <c r="E885" s="41"/>
      <c r="F885" s="41"/>
      <c r="G885" s="41"/>
      <c r="H885" s="41"/>
    </row>
    <row r="886">
      <c r="A886" s="6"/>
      <c r="B886" s="34"/>
      <c r="C886" s="35"/>
      <c r="D886" s="50"/>
      <c r="E886" s="31"/>
      <c r="F886" s="31"/>
      <c r="G886" s="31"/>
      <c r="H886" s="31"/>
    </row>
    <row r="887">
      <c r="A887" s="11"/>
      <c r="B887" s="36"/>
      <c r="C887" s="37"/>
      <c r="D887" s="51"/>
      <c r="E887" s="41"/>
      <c r="F887" s="41"/>
      <c r="G887" s="41"/>
      <c r="H887" s="41"/>
    </row>
    <row r="888">
      <c r="A888" s="6"/>
      <c r="B888" s="34"/>
      <c r="C888" s="35"/>
      <c r="D888" s="50"/>
      <c r="E888" s="31"/>
      <c r="F888" s="31"/>
      <c r="G888" s="31"/>
      <c r="H888" s="31"/>
    </row>
    <row r="889">
      <c r="A889" s="11"/>
      <c r="B889" s="36"/>
      <c r="C889" s="37"/>
      <c r="D889" s="51"/>
      <c r="E889" s="41"/>
      <c r="F889" s="41"/>
      <c r="G889" s="41"/>
      <c r="H889" s="41"/>
    </row>
    <row r="890">
      <c r="A890" s="6"/>
      <c r="B890" s="34"/>
      <c r="C890" s="35"/>
      <c r="D890" s="50"/>
      <c r="E890" s="31"/>
      <c r="F890" s="31"/>
      <c r="G890" s="31"/>
      <c r="H890" s="31"/>
    </row>
    <row r="891">
      <c r="A891" s="11"/>
      <c r="B891" s="36"/>
      <c r="C891" s="37"/>
      <c r="D891" s="51"/>
      <c r="E891" s="41"/>
      <c r="F891" s="41"/>
      <c r="G891" s="41"/>
      <c r="H891" s="41"/>
    </row>
    <row r="892">
      <c r="A892" s="6"/>
      <c r="B892" s="34"/>
      <c r="C892" s="35"/>
      <c r="D892" s="50"/>
      <c r="E892" s="31"/>
      <c r="F892" s="31"/>
      <c r="G892" s="31"/>
      <c r="H892" s="31"/>
    </row>
    <row r="893">
      <c r="A893" s="11"/>
      <c r="B893" s="36"/>
      <c r="C893" s="37"/>
      <c r="D893" s="51"/>
      <c r="E893" s="41"/>
      <c r="F893" s="41"/>
      <c r="G893" s="41"/>
      <c r="H893" s="41"/>
    </row>
    <row r="894">
      <c r="A894" s="6"/>
      <c r="B894" s="34"/>
      <c r="C894" s="35"/>
      <c r="D894" s="50"/>
      <c r="E894" s="31"/>
      <c r="F894" s="31"/>
      <c r="G894" s="31"/>
      <c r="H894" s="31"/>
    </row>
    <row r="895">
      <c r="A895" s="11"/>
      <c r="B895" s="36"/>
      <c r="C895" s="37"/>
      <c r="D895" s="51"/>
      <c r="E895" s="41"/>
      <c r="F895" s="41"/>
      <c r="G895" s="41"/>
      <c r="H895" s="41"/>
    </row>
    <row r="896">
      <c r="A896" s="6"/>
      <c r="B896" s="34"/>
      <c r="C896" s="35"/>
      <c r="D896" s="50"/>
      <c r="E896" s="31"/>
      <c r="F896" s="31"/>
      <c r="G896" s="31"/>
      <c r="H896" s="31"/>
    </row>
    <row r="897">
      <c r="A897" s="11"/>
      <c r="B897" s="36"/>
      <c r="C897" s="37"/>
      <c r="D897" s="51"/>
      <c r="E897" s="41"/>
      <c r="F897" s="41"/>
      <c r="G897" s="41"/>
      <c r="H897" s="41"/>
    </row>
    <row r="898">
      <c r="A898" s="6"/>
      <c r="B898" s="34"/>
      <c r="C898" s="35"/>
      <c r="D898" s="50"/>
      <c r="E898" s="31"/>
      <c r="F898" s="31"/>
      <c r="G898" s="31"/>
      <c r="H898" s="31"/>
    </row>
    <row r="899">
      <c r="A899" s="11"/>
      <c r="B899" s="36"/>
      <c r="C899" s="37"/>
      <c r="D899" s="51"/>
      <c r="E899" s="41"/>
      <c r="F899" s="41"/>
      <c r="G899" s="41"/>
      <c r="H899" s="41"/>
    </row>
    <row r="900">
      <c r="A900" s="6"/>
      <c r="B900" s="34"/>
      <c r="C900" s="35"/>
      <c r="D900" s="50"/>
      <c r="E900" s="31"/>
      <c r="F900" s="31"/>
      <c r="G900" s="31"/>
      <c r="H900" s="31"/>
    </row>
    <row r="901">
      <c r="A901" s="11"/>
      <c r="B901" s="36"/>
      <c r="C901" s="37"/>
      <c r="D901" s="51"/>
      <c r="E901" s="41"/>
      <c r="F901" s="41"/>
      <c r="G901" s="41"/>
      <c r="H901" s="41"/>
    </row>
    <row r="902">
      <c r="A902" s="6"/>
      <c r="B902" s="34"/>
      <c r="C902" s="35"/>
      <c r="D902" s="50"/>
      <c r="E902" s="31"/>
      <c r="F902" s="31"/>
      <c r="G902" s="31"/>
      <c r="H902" s="31"/>
    </row>
    <row r="903">
      <c r="A903" s="11"/>
      <c r="B903" s="36"/>
      <c r="C903" s="37"/>
      <c r="D903" s="51"/>
      <c r="E903" s="41"/>
      <c r="F903" s="41"/>
      <c r="G903" s="41"/>
      <c r="H903" s="41"/>
    </row>
    <row r="904">
      <c r="A904" s="6"/>
      <c r="B904" s="34"/>
      <c r="C904" s="35"/>
      <c r="D904" s="50"/>
      <c r="E904" s="31"/>
      <c r="F904" s="31"/>
      <c r="G904" s="31"/>
      <c r="H904" s="31"/>
    </row>
    <row r="905">
      <c r="A905" s="11"/>
      <c r="B905" s="36"/>
      <c r="C905" s="37"/>
      <c r="D905" s="51"/>
      <c r="E905" s="41"/>
      <c r="F905" s="41"/>
      <c r="G905" s="41"/>
      <c r="H905" s="41"/>
    </row>
    <row r="906">
      <c r="A906" s="6"/>
      <c r="B906" s="34"/>
      <c r="C906" s="35"/>
      <c r="D906" s="50"/>
      <c r="E906" s="31"/>
      <c r="F906" s="31"/>
      <c r="G906" s="31"/>
      <c r="H906" s="31"/>
    </row>
    <row r="907">
      <c r="A907" s="11"/>
      <c r="B907" s="36"/>
      <c r="C907" s="37"/>
      <c r="D907" s="51"/>
      <c r="E907" s="41"/>
      <c r="F907" s="41"/>
      <c r="G907" s="41"/>
      <c r="H907" s="41"/>
    </row>
    <row r="908">
      <c r="A908" s="6"/>
      <c r="B908" s="34"/>
      <c r="C908" s="35"/>
      <c r="D908" s="50"/>
      <c r="E908" s="31"/>
      <c r="F908" s="31"/>
      <c r="G908" s="31"/>
      <c r="H908" s="31"/>
    </row>
    <row r="909">
      <c r="A909" s="11"/>
      <c r="B909" s="36"/>
      <c r="C909" s="37"/>
      <c r="D909" s="51"/>
      <c r="E909" s="41"/>
      <c r="F909" s="41"/>
      <c r="G909" s="41"/>
      <c r="H909" s="41"/>
    </row>
    <row r="910">
      <c r="A910" s="6"/>
      <c r="B910" s="34"/>
      <c r="C910" s="35"/>
      <c r="D910" s="50"/>
      <c r="E910" s="31"/>
      <c r="F910" s="31"/>
      <c r="G910" s="31"/>
      <c r="H910" s="31"/>
    </row>
    <row r="911">
      <c r="A911" s="11"/>
      <c r="B911" s="36"/>
      <c r="C911" s="37"/>
      <c r="D911" s="51"/>
      <c r="E911" s="41"/>
      <c r="F911" s="41"/>
      <c r="G911" s="41"/>
      <c r="H911" s="41"/>
    </row>
    <row r="912">
      <c r="A912" s="6"/>
      <c r="B912" s="34"/>
      <c r="C912" s="35"/>
      <c r="D912" s="50"/>
      <c r="E912" s="31"/>
      <c r="F912" s="31"/>
      <c r="G912" s="31"/>
      <c r="H912" s="31"/>
    </row>
    <row r="913">
      <c r="A913" s="11"/>
      <c r="B913" s="36"/>
      <c r="C913" s="37"/>
      <c r="D913" s="51"/>
      <c r="E913" s="41"/>
      <c r="F913" s="41"/>
      <c r="G913" s="41"/>
      <c r="H913" s="41"/>
    </row>
    <row r="914">
      <c r="A914" s="6"/>
      <c r="B914" s="34"/>
      <c r="C914" s="35"/>
      <c r="D914" s="50"/>
      <c r="E914" s="31"/>
      <c r="F914" s="31"/>
      <c r="G914" s="31"/>
      <c r="H914" s="31"/>
    </row>
    <row r="915">
      <c r="A915" s="11"/>
      <c r="B915" s="36"/>
      <c r="C915" s="37"/>
      <c r="D915" s="51"/>
      <c r="E915" s="41"/>
      <c r="F915" s="41"/>
      <c r="G915" s="41"/>
      <c r="H915" s="41"/>
    </row>
    <row r="916">
      <c r="A916" s="6"/>
      <c r="B916" s="34"/>
      <c r="C916" s="35"/>
      <c r="D916" s="50"/>
      <c r="E916" s="31"/>
      <c r="F916" s="31"/>
      <c r="G916" s="31"/>
      <c r="H916" s="31"/>
    </row>
    <row r="917">
      <c r="A917" s="11"/>
      <c r="B917" s="36"/>
      <c r="C917" s="37"/>
      <c r="D917" s="51"/>
      <c r="E917" s="41"/>
      <c r="F917" s="41"/>
      <c r="G917" s="41"/>
      <c r="H917" s="41"/>
    </row>
    <row r="918">
      <c r="A918" s="6"/>
      <c r="B918" s="34"/>
      <c r="C918" s="35"/>
      <c r="D918" s="50"/>
      <c r="E918" s="31"/>
      <c r="F918" s="31"/>
      <c r="G918" s="31"/>
      <c r="H918" s="31"/>
    </row>
    <row r="919">
      <c r="A919" s="11"/>
      <c r="B919" s="36"/>
      <c r="C919" s="37"/>
      <c r="D919" s="51"/>
      <c r="E919" s="41"/>
      <c r="F919" s="41"/>
      <c r="G919" s="41"/>
      <c r="H919" s="41"/>
    </row>
    <row r="920">
      <c r="A920" s="6"/>
      <c r="B920" s="34"/>
      <c r="C920" s="35"/>
      <c r="D920" s="50"/>
      <c r="E920" s="31"/>
      <c r="F920" s="31"/>
      <c r="G920" s="31"/>
      <c r="H920" s="31"/>
    </row>
    <row r="921">
      <c r="A921" s="11"/>
      <c r="B921" s="36"/>
      <c r="C921" s="37"/>
      <c r="D921" s="51"/>
      <c r="E921" s="41"/>
      <c r="F921" s="41"/>
      <c r="G921" s="41"/>
      <c r="H921" s="41"/>
    </row>
    <row r="922">
      <c r="A922" s="6"/>
      <c r="B922" s="34"/>
      <c r="C922" s="35"/>
      <c r="D922" s="50"/>
      <c r="E922" s="31"/>
      <c r="F922" s="31"/>
      <c r="G922" s="31"/>
      <c r="H922" s="31"/>
    </row>
    <row r="923">
      <c r="A923" s="11"/>
      <c r="B923" s="36"/>
      <c r="C923" s="37"/>
      <c r="D923" s="51"/>
      <c r="E923" s="41"/>
      <c r="F923" s="41"/>
      <c r="G923" s="41"/>
      <c r="H923" s="41"/>
    </row>
    <row r="924">
      <c r="A924" s="6"/>
      <c r="B924" s="34"/>
      <c r="C924" s="35"/>
      <c r="D924" s="50"/>
      <c r="E924" s="31"/>
      <c r="F924" s="31"/>
      <c r="G924" s="31"/>
      <c r="H924" s="31"/>
    </row>
    <row r="925">
      <c r="A925" s="11"/>
      <c r="B925" s="36"/>
      <c r="C925" s="37"/>
      <c r="D925" s="51"/>
      <c r="E925" s="41"/>
      <c r="F925" s="41"/>
      <c r="G925" s="41"/>
      <c r="H925" s="41"/>
    </row>
    <row r="926">
      <c r="A926" s="6"/>
      <c r="B926" s="34"/>
      <c r="C926" s="35"/>
      <c r="D926" s="50"/>
      <c r="E926" s="31"/>
      <c r="F926" s="31"/>
      <c r="G926" s="31"/>
      <c r="H926" s="31"/>
    </row>
    <row r="927">
      <c r="A927" s="11"/>
      <c r="B927" s="36"/>
      <c r="C927" s="37"/>
      <c r="D927" s="51"/>
      <c r="E927" s="41"/>
      <c r="F927" s="41"/>
      <c r="G927" s="41"/>
      <c r="H927" s="41"/>
    </row>
    <row r="928">
      <c r="A928" s="6"/>
      <c r="B928" s="34"/>
      <c r="C928" s="35"/>
      <c r="D928" s="50"/>
      <c r="E928" s="31"/>
      <c r="F928" s="31"/>
      <c r="G928" s="31"/>
      <c r="H928" s="31"/>
    </row>
    <row r="929">
      <c r="A929" s="11"/>
      <c r="B929" s="36"/>
      <c r="C929" s="37"/>
      <c r="D929" s="51"/>
      <c r="E929" s="41"/>
      <c r="F929" s="41"/>
      <c r="G929" s="41"/>
      <c r="H929" s="41"/>
    </row>
    <row r="930">
      <c r="A930" s="6"/>
      <c r="B930" s="34"/>
      <c r="C930" s="35"/>
      <c r="D930" s="50"/>
      <c r="E930" s="31"/>
      <c r="F930" s="31"/>
      <c r="G930" s="31"/>
      <c r="H930" s="31"/>
    </row>
    <row r="931">
      <c r="A931" s="11"/>
      <c r="B931" s="36"/>
      <c r="C931" s="37"/>
      <c r="D931" s="51"/>
      <c r="E931" s="41"/>
      <c r="F931" s="41"/>
      <c r="G931" s="41"/>
      <c r="H931" s="41"/>
    </row>
    <row r="932">
      <c r="A932" s="6"/>
      <c r="B932" s="34"/>
      <c r="C932" s="35"/>
      <c r="D932" s="50"/>
      <c r="E932" s="31"/>
      <c r="F932" s="31"/>
      <c r="G932" s="31"/>
      <c r="H932" s="31"/>
    </row>
    <row r="933">
      <c r="A933" s="11"/>
      <c r="B933" s="36"/>
      <c r="C933" s="37"/>
      <c r="D933" s="51"/>
      <c r="E933" s="41"/>
      <c r="F933" s="41"/>
      <c r="G933" s="41"/>
      <c r="H933" s="41"/>
    </row>
    <row r="934">
      <c r="A934" s="6"/>
      <c r="B934" s="34"/>
      <c r="C934" s="35"/>
      <c r="D934" s="50"/>
      <c r="E934" s="31"/>
      <c r="F934" s="31"/>
      <c r="G934" s="31"/>
      <c r="H934" s="31"/>
    </row>
    <row r="935">
      <c r="A935" s="11"/>
      <c r="B935" s="36"/>
      <c r="C935" s="37"/>
      <c r="D935" s="51"/>
      <c r="E935" s="41"/>
      <c r="F935" s="41"/>
      <c r="G935" s="41"/>
      <c r="H935" s="41"/>
    </row>
    <row r="936">
      <c r="A936" s="6"/>
      <c r="B936" s="34"/>
      <c r="C936" s="35"/>
      <c r="D936" s="50"/>
      <c r="E936" s="31"/>
      <c r="F936" s="31"/>
      <c r="G936" s="31"/>
      <c r="H936" s="31"/>
    </row>
    <row r="937">
      <c r="A937" s="11"/>
      <c r="B937" s="36"/>
      <c r="C937" s="37"/>
      <c r="D937" s="51"/>
      <c r="E937" s="41"/>
      <c r="F937" s="41"/>
      <c r="G937" s="41"/>
      <c r="H937" s="41"/>
    </row>
    <row r="938">
      <c r="A938" s="6"/>
      <c r="B938" s="34"/>
      <c r="C938" s="35"/>
      <c r="D938" s="50"/>
      <c r="E938" s="31"/>
      <c r="F938" s="31"/>
      <c r="G938" s="31"/>
      <c r="H938" s="31"/>
    </row>
    <row r="939">
      <c r="A939" s="11"/>
      <c r="B939" s="36"/>
      <c r="C939" s="37"/>
      <c r="D939" s="51"/>
      <c r="E939" s="41"/>
      <c r="F939" s="41"/>
      <c r="G939" s="41"/>
      <c r="H939" s="41"/>
    </row>
    <row r="940">
      <c r="A940" s="6"/>
      <c r="B940" s="34"/>
      <c r="C940" s="35"/>
      <c r="D940" s="50"/>
      <c r="E940" s="31"/>
      <c r="F940" s="31"/>
      <c r="G940" s="31"/>
      <c r="H940" s="31"/>
    </row>
    <row r="941">
      <c r="A941" s="11"/>
      <c r="B941" s="36"/>
      <c r="C941" s="37"/>
      <c r="D941" s="51"/>
      <c r="E941" s="41"/>
      <c r="F941" s="41"/>
      <c r="G941" s="41"/>
      <c r="H941" s="41"/>
    </row>
    <row r="942">
      <c r="A942" s="6"/>
      <c r="B942" s="34"/>
      <c r="C942" s="35"/>
      <c r="D942" s="50"/>
      <c r="E942" s="31"/>
      <c r="F942" s="31"/>
      <c r="G942" s="31"/>
      <c r="H942" s="31"/>
    </row>
    <row r="943">
      <c r="A943" s="11"/>
      <c r="B943" s="36"/>
      <c r="C943" s="37"/>
      <c r="D943" s="51"/>
      <c r="E943" s="41"/>
      <c r="F943" s="41"/>
      <c r="G943" s="41"/>
      <c r="H943" s="41"/>
    </row>
    <row r="944">
      <c r="A944" s="6"/>
      <c r="B944" s="34"/>
      <c r="C944" s="35"/>
      <c r="D944" s="50"/>
      <c r="E944" s="31"/>
      <c r="F944" s="31"/>
      <c r="G944" s="31"/>
      <c r="H944" s="31"/>
    </row>
    <row r="945">
      <c r="A945" s="11"/>
      <c r="B945" s="36"/>
      <c r="C945" s="37"/>
      <c r="D945" s="51"/>
      <c r="E945" s="41"/>
      <c r="F945" s="41"/>
      <c r="G945" s="41"/>
      <c r="H945" s="41"/>
    </row>
    <row r="946">
      <c r="A946" s="6"/>
      <c r="B946" s="34"/>
      <c r="C946" s="35"/>
      <c r="D946" s="50"/>
      <c r="E946" s="31"/>
      <c r="F946" s="31"/>
      <c r="G946" s="31"/>
      <c r="H946" s="31"/>
    </row>
    <row r="947">
      <c r="A947" s="11"/>
      <c r="B947" s="36"/>
      <c r="C947" s="37"/>
      <c r="D947" s="51"/>
      <c r="E947" s="41"/>
      <c r="F947" s="41"/>
      <c r="G947" s="41"/>
      <c r="H947" s="41"/>
    </row>
    <row r="948">
      <c r="A948" s="6"/>
      <c r="B948" s="34"/>
      <c r="C948" s="35"/>
      <c r="D948" s="50"/>
      <c r="E948" s="31"/>
      <c r="F948" s="31"/>
      <c r="G948" s="31"/>
      <c r="H948" s="31"/>
    </row>
    <row r="949">
      <c r="A949" s="11"/>
      <c r="B949" s="36"/>
      <c r="C949" s="37"/>
      <c r="D949" s="51"/>
      <c r="E949" s="41"/>
      <c r="F949" s="41"/>
      <c r="G949" s="41"/>
      <c r="H949" s="41"/>
    </row>
    <row r="950">
      <c r="A950" s="6"/>
      <c r="B950" s="34"/>
      <c r="C950" s="35"/>
      <c r="D950" s="50"/>
      <c r="E950" s="31"/>
      <c r="F950" s="31"/>
      <c r="G950" s="31"/>
      <c r="H950" s="31"/>
    </row>
    <row r="951">
      <c r="A951" s="11"/>
      <c r="B951" s="36"/>
      <c r="C951" s="37"/>
      <c r="D951" s="51"/>
      <c r="E951" s="41"/>
      <c r="F951" s="41"/>
      <c r="G951" s="41"/>
      <c r="H951" s="41"/>
    </row>
    <row r="952">
      <c r="A952" s="6"/>
      <c r="B952" s="34"/>
      <c r="C952" s="35"/>
      <c r="D952" s="50"/>
      <c r="E952" s="31"/>
      <c r="F952" s="31"/>
      <c r="G952" s="31"/>
      <c r="H952" s="31"/>
    </row>
    <row r="953">
      <c r="A953" s="11"/>
      <c r="B953" s="36"/>
      <c r="C953" s="37"/>
      <c r="D953" s="51"/>
      <c r="E953" s="41"/>
      <c r="F953" s="41"/>
      <c r="G953" s="41"/>
      <c r="H953" s="41"/>
    </row>
    <row r="954">
      <c r="A954" s="6"/>
      <c r="B954" s="34"/>
      <c r="C954" s="35"/>
      <c r="D954" s="50"/>
      <c r="E954" s="31"/>
      <c r="F954" s="31"/>
      <c r="G954" s="31"/>
      <c r="H954" s="31"/>
    </row>
    <row r="955">
      <c r="A955" s="11"/>
      <c r="B955" s="36"/>
      <c r="C955" s="37"/>
      <c r="D955" s="51"/>
      <c r="E955" s="41"/>
      <c r="F955" s="41"/>
      <c r="G955" s="41"/>
      <c r="H955" s="41"/>
    </row>
    <row r="956">
      <c r="A956" s="6"/>
      <c r="B956" s="34"/>
      <c r="C956" s="35"/>
      <c r="D956" s="50"/>
      <c r="E956" s="31"/>
      <c r="F956" s="31"/>
      <c r="G956" s="31"/>
      <c r="H956" s="31"/>
    </row>
    <row r="957">
      <c r="A957" s="11"/>
      <c r="B957" s="36"/>
      <c r="C957" s="37"/>
      <c r="D957" s="51"/>
      <c r="E957" s="41"/>
      <c r="F957" s="41"/>
      <c r="G957" s="41"/>
      <c r="H957" s="41"/>
    </row>
    <row r="958">
      <c r="A958" s="6"/>
      <c r="B958" s="34"/>
      <c r="C958" s="35"/>
      <c r="D958" s="50"/>
      <c r="E958" s="31"/>
      <c r="F958" s="31"/>
      <c r="G958" s="31"/>
      <c r="H958" s="31"/>
    </row>
    <row r="959">
      <c r="A959" s="11"/>
      <c r="B959" s="36"/>
      <c r="C959" s="37"/>
      <c r="D959" s="51"/>
      <c r="E959" s="41"/>
      <c r="F959" s="41"/>
      <c r="G959" s="41"/>
      <c r="H959" s="41"/>
    </row>
    <row r="960">
      <c r="A960" s="6"/>
      <c r="B960" s="34"/>
      <c r="C960" s="35"/>
      <c r="D960" s="50"/>
      <c r="E960" s="31"/>
      <c r="F960" s="31"/>
      <c r="G960" s="31"/>
      <c r="H960" s="31"/>
    </row>
    <row r="961">
      <c r="A961" s="11"/>
      <c r="B961" s="36"/>
      <c r="C961" s="37"/>
      <c r="D961" s="51"/>
      <c r="E961" s="41"/>
      <c r="F961" s="41"/>
      <c r="G961" s="41"/>
      <c r="H961" s="41"/>
    </row>
    <row r="962">
      <c r="A962" s="6"/>
      <c r="B962" s="34"/>
      <c r="C962" s="35"/>
      <c r="D962" s="50"/>
      <c r="E962" s="31"/>
      <c r="F962" s="31"/>
      <c r="G962" s="31"/>
      <c r="H962" s="31"/>
    </row>
    <row r="963">
      <c r="A963" s="11"/>
      <c r="B963" s="36"/>
      <c r="C963" s="37"/>
      <c r="D963" s="51"/>
      <c r="E963" s="41"/>
      <c r="F963" s="41"/>
      <c r="G963" s="41"/>
      <c r="H963" s="41"/>
    </row>
    <row r="964">
      <c r="A964" s="6"/>
      <c r="B964" s="34"/>
      <c r="C964" s="35"/>
      <c r="D964" s="50"/>
      <c r="E964" s="31"/>
      <c r="F964" s="31"/>
      <c r="G964" s="31"/>
      <c r="H964" s="31"/>
    </row>
    <row r="965">
      <c r="A965" s="11"/>
      <c r="B965" s="36"/>
      <c r="C965" s="37"/>
      <c r="D965" s="51"/>
      <c r="E965" s="41"/>
      <c r="F965" s="41"/>
      <c r="G965" s="41"/>
      <c r="H965" s="41"/>
    </row>
    <row r="966">
      <c r="A966" s="6"/>
      <c r="B966" s="34"/>
      <c r="C966" s="35"/>
      <c r="D966" s="50"/>
      <c r="E966" s="31"/>
      <c r="F966" s="31"/>
      <c r="G966" s="31"/>
      <c r="H966" s="31"/>
    </row>
    <row r="967">
      <c r="A967" s="11"/>
      <c r="B967" s="36"/>
      <c r="C967" s="37"/>
      <c r="D967" s="51"/>
      <c r="E967" s="41"/>
      <c r="F967" s="41"/>
      <c r="G967" s="41"/>
      <c r="H967" s="41"/>
    </row>
    <row r="968">
      <c r="A968" s="6"/>
      <c r="B968" s="34"/>
      <c r="C968" s="35"/>
      <c r="D968" s="50"/>
      <c r="E968" s="31"/>
      <c r="F968" s="31"/>
      <c r="G968" s="31"/>
      <c r="H968" s="31"/>
    </row>
    <row r="969">
      <c r="A969" s="11"/>
      <c r="B969" s="36"/>
      <c r="C969" s="37"/>
      <c r="D969" s="51"/>
      <c r="E969" s="41"/>
      <c r="F969" s="41"/>
      <c r="G969" s="41"/>
      <c r="H969" s="41"/>
    </row>
    <row r="970">
      <c r="A970" s="6"/>
      <c r="B970" s="34"/>
      <c r="C970" s="35"/>
      <c r="D970" s="50"/>
      <c r="E970" s="31"/>
      <c r="F970" s="31"/>
      <c r="G970" s="31"/>
      <c r="H970" s="31"/>
    </row>
    <row r="971">
      <c r="A971" s="11"/>
      <c r="B971" s="36"/>
      <c r="C971" s="37"/>
      <c r="D971" s="51"/>
      <c r="E971" s="41"/>
      <c r="F971" s="41"/>
      <c r="G971" s="41"/>
      <c r="H971" s="41"/>
    </row>
    <row r="972">
      <c r="A972" s="6"/>
      <c r="B972" s="34"/>
      <c r="C972" s="35"/>
      <c r="D972" s="50"/>
      <c r="E972" s="31"/>
      <c r="F972" s="31"/>
      <c r="G972" s="31"/>
      <c r="H972" s="31"/>
    </row>
    <row r="973">
      <c r="A973" s="11"/>
      <c r="B973" s="36"/>
      <c r="C973" s="37"/>
      <c r="D973" s="51"/>
      <c r="E973" s="41"/>
      <c r="F973" s="41"/>
      <c r="G973" s="41"/>
      <c r="H973" s="41"/>
    </row>
    <row r="974">
      <c r="A974" s="6"/>
      <c r="B974" s="34"/>
      <c r="C974" s="35"/>
      <c r="D974" s="50"/>
      <c r="E974" s="31"/>
      <c r="F974" s="31"/>
      <c r="G974" s="31"/>
      <c r="H974" s="31"/>
    </row>
    <row r="975">
      <c r="A975" s="11"/>
      <c r="B975" s="36"/>
      <c r="C975" s="37"/>
      <c r="D975" s="51"/>
      <c r="E975" s="41"/>
      <c r="F975" s="41"/>
      <c r="G975" s="41"/>
      <c r="H975" s="41"/>
    </row>
    <row r="976">
      <c r="A976" s="6"/>
      <c r="B976" s="34"/>
      <c r="C976" s="35"/>
      <c r="D976" s="50"/>
      <c r="E976" s="31"/>
      <c r="F976" s="31"/>
      <c r="G976" s="31"/>
      <c r="H976" s="31"/>
    </row>
    <row r="977">
      <c r="A977" s="11"/>
      <c r="B977" s="36"/>
      <c r="C977" s="37"/>
      <c r="D977" s="51"/>
      <c r="E977" s="41"/>
      <c r="F977" s="41"/>
      <c r="G977" s="41"/>
      <c r="H977" s="41"/>
    </row>
    <row r="978">
      <c r="A978" s="6"/>
      <c r="B978" s="34"/>
      <c r="C978" s="35"/>
      <c r="D978" s="50"/>
      <c r="E978" s="31"/>
      <c r="F978" s="31"/>
      <c r="G978" s="31"/>
      <c r="H978" s="31"/>
    </row>
    <row r="979">
      <c r="A979" s="11"/>
      <c r="B979" s="36"/>
      <c r="C979" s="37"/>
      <c r="D979" s="51"/>
      <c r="E979" s="41"/>
      <c r="F979" s="41"/>
      <c r="G979" s="41"/>
      <c r="H979" s="41"/>
    </row>
    <row r="980">
      <c r="A980" s="6"/>
      <c r="B980" s="34"/>
      <c r="C980" s="35"/>
      <c r="D980" s="50"/>
      <c r="E980" s="31"/>
      <c r="F980" s="31"/>
      <c r="G980" s="31"/>
      <c r="H980" s="31"/>
    </row>
    <row r="981">
      <c r="A981" s="11"/>
      <c r="B981" s="36"/>
      <c r="C981" s="37"/>
      <c r="D981" s="51"/>
      <c r="E981" s="41"/>
      <c r="F981" s="41"/>
      <c r="G981" s="41"/>
      <c r="H981" s="41"/>
    </row>
    <row r="982">
      <c r="A982" s="6"/>
      <c r="B982" s="34"/>
      <c r="C982" s="35"/>
      <c r="D982" s="50"/>
      <c r="E982" s="31"/>
      <c r="F982" s="31"/>
      <c r="G982" s="31"/>
      <c r="H982" s="31"/>
    </row>
    <row r="983">
      <c r="A983" s="11"/>
      <c r="B983" s="36"/>
      <c r="C983" s="37"/>
      <c r="D983" s="51"/>
      <c r="E983" s="41"/>
      <c r="F983" s="41"/>
      <c r="G983" s="41"/>
      <c r="H983" s="41"/>
    </row>
    <row r="984">
      <c r="A984" s="6"/>
      <c r="B984" s="34"/>
      <c r="C984" s="35"/>
      <c r="D984" s="50"/>
      <c r="E984" s="31"/>
      <c r="F984" s="31"/>
      <c r="G984" s="31"/>
      <c r="H984" s="31"/>
    </row>
    <row r="985">
      <c r="A985" s="11"/>
      <c r="B985" s="36"/>
      <c r="C985" s="37"/>
      <c r="D985" s="51"/>
      <c r="E985" s="41"/>
      <c r="F985" s="41"/>
      <c r="G985" s="41"/>
      <c r="H985" s="41"/>
    </row>
    <row r="986">
      <c r="A986" s="6"/>
      <c r="B986" s="34"/>
      <c r="C986" s="35"/>
      <c r="D986" s="50"/>
      <c r="E986" s="31"/>
      <c r="F986" s="31"/>
      <c r="G986" s="31"/>
      <c r="H986" s="31"/>
    </row>
    <row r="987">
      <c r="A987" s="11"/>
      <c r="B987" s="36"/>
      <c r="C987" s="37"/>
      <c r="D987" s="51"/>
      <c r="E987" s="41"/>
      <c r="F987" s="41"/>
      <c r="G987" s="41"/>
      <c r="H987" s="41"/>
    </row>
    <row r="988">
      <c r="A988" s="6"/>
      <c r="B988" s="34"/>
      <c r="C988" s="35"/>
      <c r="D988" s="50"/>
      <c r="E988" s="31"/>
      <c r="F988" s="31"/>
      <c r="G988" s="31"/>
      <c r="H988" s="31"/>
    </row>
    <row r="989">
      <c r="A989" s="11"/>
      <c r="B989" s="36"/>
      <c r="C989" s="37"/>
      <c r="D989" s="51"/>
      <c r="E989" s="41"/>
      <c r="F989" s="41"/>
      <c r="G989" s="41"/>
      <c r="H989" s="41"/>
    </row>
    <row r="990">
      <c r="A990" s="6"/>
      <c r="B990" s="34"/>
      <c r="C990" s="35"/>
      <c r="D990" s="50"/>
      <c r="E990" s="31"/>
      <c r="F990" s="31"/>
      <c r="G990" s="31"/>
      <c r="H990" s="31"/>
    </row>
    <row r="991">
      <c r="A991" s="11"/>
      <c r="B991" s="36"/>
      <c r="C991" s="37"/>
      <c r="D991" s="51"/>
      <c r="E991" s="41"/>
      <c r="F991" s="41"/>
      <c r="G991" s="41"/>
      <c r="H991" s="41"/>
    </row>
    <row r="992">
      <c r="A992" s="6"/>
      <c r="B992" s="34"/>
      <c r="C992" s="35"/>
      <c r="D992" s="50"/>
      <c r="E992" s="31"/>
      <c r="F992" s="31"/>
      <c r="G992" s="31"/>
      <c r="H992" s="31"/>
    </row>
    <row r="993">
      <c r="A993" s="11"/>
      <c r="B993" s="36"/>
      <c r="C993" s="37"/>
      <c r="D993" s="51"/>
      <c r="E993" s="41"/>
      <c r="F993" s="41"/>
      <c r="G993" s="41"/>
      <c r="H993" s="41"/>
    </row>
    <row r="994">
      <c r="A994" s="6"/>
      <c r="B994" s="34"/>
      <c r="C994" s="35"/>
      <c r="D994" s="50"/>
      <c r="E994" s="31"/>
      <c r="F994" s="31"/>
      <c r="G994" s="31"/>
      <c r="H994" s="31"/>
    </row>
    <row r="995">
      <c r="A995" s="11"/>
      <c r="B995" s="36"/>
      <c r="C995" s="37"/>
      <c r="D995" s="51"/>
      <c r="E995" s="41"/>
      <c r="F995" s="41"/>
      <c r="G995" s="41"/>
      <c r="H995" s="41"/>
    </row>
    <row r="996">
      <c r="A996" s="6"/>
      <c r="B996" s="34"/>
      <c r="C996" s="35"/>
      <c r="D996" s="50"/>
      <c r="E996" s="31"/>
      <c r="F996" s="31"/>
      <c r="G996" s="31"/>
      <c r="H996" s="31"/>
    </row>
    <row r="997">
      <c r="A997" s="11"/>
      <c r="B997" s="36"/>
      <c r="C997" s="37"/>
      <c r="D997" s="51"/>
      <c r="E997" s="41"/>
      <c r="F997" s="41"/>
      <c r="G997" s="41"/>
      <c r="H997" s="41"/>
    </row>
    <row r="998">
      <c r="A998" s="6"/>
      <c r="B998" s="34"/>
      <c r="C998" s="35"/>
      <c r="D998" s="50"/>
      <c r="E998" s="31"/>
      <c r="F998" s="31"/>
      <c r="G998" s="31"/>
      <c r="H998" s="31"/>
    </row>
    <row r="999">
      <c r="A999" s="11"/>
      <c r="B999" s="36"/>
      <c r="C999" s="37"/>
      <c r="D999" s="51"/>
      <c r="E999" s="41"/>
      <c r="F999" s="41"/>
      <c r="G999" s="41"/>
      <c r="H999" s="41"/>
    </row>
    <row r="1000">
      <c r="A1000" s="6"/>
      <c r="B1000" s="34"/>
      <c r="C1000" s="35"/>
      <c r="D1000" s="50"/>
      <c r="E1000" s="31"/>
      <c r="F1000" s="31"/>
      <c r="G1000" s="31"/>
      <c r="H1000" s="31"/>
    </row>
    <row r="1001">
      <c r="A1001" s="11"/>
      <c r="B1001" s="36"/>
      <c r="C1001" s="37"/>
      <c r="D1001" s="51"/>
      <c r="E1001" s="41"/>
      <c r="F1001" s="41"/>
      <c r="G1001" s="41"/>
      <c r="H1001" s="41"/>
    </row>
  </sheetData>
  <autoFilter ref="$A$1:$H$1001"/>
  <conditionalFormatting sqref="E1:F1001">
    <cfRule type="containsText" dxfId="1" priority="1" operator="containsText" text="NOK">
      <formula>NOT(ISERROR(SEARCH(("NOK"),(E1))))</formula>
    </cfRule>
  </conditionalFormatting>
  <conditionalFormatting sqref="E1:F1001">
    <cfRule type="cellIs" dxfId="2" priority="2" operator="equal">
      <formula>"OK"</formula>
    </cfRule>
  </conditionalFormatting>
  <dataValidations>
    <dataValidation type="list" allowBlank="1" showErrorMessage="1" sqref="B235:B1001">
      <formula1>"David,Gema,Enric"</formula1>
    </dataValidation>
    <dataValidation type="list" allowBlank="1" showErrorMessage="1" sqref="A2:A1001">
      <formula1>"630 849 333,673 304 063,647 760 222"</formula1>
    </dataValidation>
    <dataValidation type="list" allowBlank="1" showErrorMessage="1" sqref="C2:C1001">
      <formula1>"Incidencia,Consulta"</formula1>
    </dataValidation>
    <dataValidation type="list" allowBlank="1" showErrorMessage="1" sqref="G2:G91">
      <formula1>"Bien,Mejorable,Mal"</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8" max="8" width="28.25"/>
  </cols>
  <sheetData>
    <row r="1">
      <c r="A1" s="52" t="s">
        <v>401</v>
      </c>
    </row>
    <row r="2"/>
    <row r="3"/>
    <row r="4">
      <c r="I4" s="54" t="s">
        <v>405</v>
      </c>
    </row>
    <row r="5">
      <c r="H5" s="54" t="s">
        <v>111</v>
      </c>
    </row>
    <row r="6">
      <c r="H6" s="54" t="s">
        <v>406</v>
      </c>
      <c r="I6" s="55">
        <v>0.7</v>
      </c>
    </row>
    <row r="7">
      <c r="H7" s="54" t="s">
        <v>110</v>
      </c>
      <c r="I7" s="54" t="s">
        <v>407</v>
      </c>
    </row>
    <row r="8">
      <c r="A8" s="54" t="s">
        <v>408</v>
      </c>
      <c r="C8" s="56">
        <f>C7/F7</f>
        <v>0.3548387097</v>
      </c>
    </row>
    <row r="10"/>
    <row r="11"/>
    <row r="12"/>
    <row r="14">
      <c r="A14" s="54" t="s">
        <v>408</v>
      </c>
      <c r="D14" s="56">
        <f>D12/E12</f>
        <v>0.2580645161</v>
      </c>
    </row>
    <row r="16"/>
    <row r="17"/>
    <row r="18"/>
    <row r="20">
      <c r="A20" s="54" t="s">
        <v>408</v>
      </c>
      <c r="D20" s="56">
        <f>D18/E18</f>
        <v>0.2580645161</v>
      </c>
    </row>
    <row r="22">
      <c r="A22" s="52" t="s">
        <v>409</v>
      </c>
    </row>
    <row r="24"/>
    <row r="25"/>
    <row r="26">
      <c r="I26" s="54" t="s">
        <v>405</v>
      </c>
    </row>
    <row r="27">
      <c r="H27" s="54" t="s">
        <v>111</v>
      </c>
    </row>
    <row r="28">
      <c r="H28" s="54" t="s">
        <v>406</v>
      </c>
      <c r="I28" s="55">
        <v>0.7</v>
      </c>
    </row>
    <row r="29">
      <c r="H29" s="54" t="s">
        <v>110</v>
      </c>
      <c r="I29" s="54" t="s">
        <v>407</v>
      </c>
    </row>
    <row r="30">
      <c r="A30" s="54" t="s">
        <v>408</v>
      </c>
      <c r="C30" s="56">
        <f>C29/F29</f>
        <v>0.7272727273</v>
      </c>
    </row>
    <row r="32"/>
    <row r="33"/>
    <row r="34"/>
    <row r="36">
      <c r="A36" s="54" t="s">
        <v>408</v>
      </c>
      <c r="D36" s="56">
        <f>D34/E34</f>
        <v>0.6363636364</v>
      </c>
    </row>
    <row r="38"/>
    <row r="39"/>
    <row r="40"/>
    <row r="42">
      <c r="A42" s="54" t="s">
        <v>408</v>
      </c>
      <c r="D42" s="56">
        <f>D40/E40</f>
        <v>0.5757575758</v>
      </c>
    </row>
    <row r="47">
      <c r="A47" s="52" t="s">
        <v>410</v>
      </c>
    </row>
    <row r="50"/>
    <row r="51"/>
    <row r="52"/>
    <row r="53"/>
    <row r="54"/>
    <row r="55"/>
    <row r="56">
      <c r="A56" s="54" t="s">
        <v>408</v>
      </c>
      <c r="C56" s="57">
        <f>C55/F55</f>
        <v>0.7303370787</v>
      </c>
    </row>
    <row r="58"/>
    <row r="59"/>
    <row r="60"/>
    <row r="62">
      <c r="A62" s="54" t="s">
        <v>408</v>
      </c>
      <c r="D62" s="57">
        <f>D60/E60</f>
        <v>0.6179775281</v>
      </c>
    </row>
    <row r="64"/>
    <row r="65"/>
    <row r="66"/>
    <row r="68">
      <c r="A68" s="54" t="s">
        <v>408</v>
      </c>
      <c r="D68" s="57">
        <f>D66/E66</f>
        <v>0.6292134831</v>
      </c>
    </row>
  </sheetData>
  <drawing r:id="rId11"/>
  <legacy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37.25"/>
    <col customWidth="1" min="8" max="8" width="105.75"/>
    <col customWidth="1" min="9" max="9" width="50.75"/>
  </cols>
  <sheetData>
    <row r="1">
      <c r="A1" s="58" t="s">
        <v>0</v>
      </c>
      <c r="B1" s="59" t="s">
        <v>108</v>
      </c>
      <c r="C1" s="59" t="s">
        <v>2</v>
      </c>
      <c r="D1" s="59" t="s">
        <v>109</v>
      </c>
      <c r="E1" s="59" t="s">
        <v>110</v>
      </c>
      <c r="F1" s="59" t="s">
        <v>111</v>
      </c>
      <c r="G1" s="59" t="s">
        <v>112</v>
      </c>
      <c r="H1" s="60" t="s">
        <v>113</v>
      </c>
    </row>
    <row r="2">
      <c r="A2" s="61">
        <v>3.4662215218E10</v>
      </c>
      <c r="B2" s="62" t="s">
        <v>307</v>
      </c>
      <c r="C2" s="62" t="s">
        <v>30</v>
      </c>
      <c r="D2" s="62" t="s">
        <v>308</v>
      </c>
      <c r="E2" s="62" t="s">
        <v>116</v>
      </c>
      <c r="F2" s="62" t="s">
        <v>116</v>
      </c>
      <c r="G2" s="62" t="s">
        <v>159</v>
      </c>
      <c r="H2" s="63" t="s">
        <v>309</v>
      </c>
    </row>
    <row r="3">
      <c r="A3" s="61">
        <v>3.4679085859E10</v>
      </c>
      <c r="B3" s="62" t="s">
        <v>312</v>
      </c>
      <c r="C3" s="62" t="s">
        <v>30</v>
      </c>
      <c r="D3" s="62" t="s">
        <v>313</v>
      </c>
      <c r="E3" s="62" t="s">
        <v>116</v>
      </c>
      <c r="F3" s="62" t="s">
        <v>116</v>
      </c>
      <c r="G3" s="62" t="s">
        <v>159</v>
      </c>
      <c r="H3" s="63" t="s">
        <v>314</v>
      </c>
    </row>
    <row r="4">
      <c r="A4" s="61">
        <v>3.06972976878E11</v>
      </c>
      <c r="B4" s="64">
        <v>45668.06180555555</v>
      </c>
      <c r="C4" s="62" t="s">
        <v>10</v>
      </c>
      <c r="D4" s="62" t="s">
        <v>315</v>
      </c>
      <c r="E4" s="62" t="s">
        <v>130</v>
      </c>
      <c r="F4" s="62" t="s">
        <v>130</v>
      </c>
      <c r="G4" s="62" t="s">
        <v>159</v>
      </c>
      <c r="H4" s="63" t="s">
        <v>316</v>
      </c>
    </row>
    <row r="5">
      <c r="A5" s="61">
        <v>1.2082601323E10</v>
      </c>
      <c r="B5" s="64">
        <v>45668.42152777778</v>
      </c>
      <c r="C5" s="62" t="s">
        <v>10</v>
      </c>
      <c r="D5" s="62" t="s">
        <v>317</v>
      </c>
      <c r="E5" s="62" t="s">
        <v>130</v>
      </c>
      <c r="F5" s="62" t="s">
        <v>130</v>
      </c>
      <c r="G5" s="62" t="s">
        <v>159</v>
      </c>
      <c r="H5" s="63" t="s">
        <v>316</v>
      </c>
    </row>
    <row r="6">
      <c r="A6" s="61">
        <v>3.4617179066E10</v>
      </c>
      <c r="B6" s="64">
        <v>45699.07430555556</v>
      </c>
      <c r="C6" s="62" t="s">
        <v>30</v>
      </c>
      <c r="D6" s="62" t="s">
        <v>319</v>
      </c>
      <c r="E6" s="62" t="s">
        <v>116</v>
      </c>
      <c r="F6" s="62" t="s">
        <v>116</v>
      </c>
      <c r="G6" s="62" t="s">
        <v>159</v>
      </c>
      <c r="H6" s="63" t="s">
        <v>320</v>
      </c>
    </row>
    <row r="7">
      <c r="A7" s="61">
        <v>3.06972976878E11</v>
      </c>
      <c r="B7" s="64">
        <v>45699.95347222222</v>
      </c>
      <c r="C7" s="62" t="s">
        <v>30</v>
      </c>
      <c r="D7" s="62" t="s">
        <v>329</v>
      </c>
      <c r="E7" s="62" t="s">
        <v>116</v>
      </c>
      <c r="F7" s="62" t="s">
        <v>116</v>
      </c>
      <c r="G7" s="62" t="s">
        <v>159</v>
      </c>
      <c r="H7" s="63" t="s">
        <v>330</v>
      </c>
    </row>
    <row r="8">
      <c r="A8" s="61">
        <v>3.4620424158E10</v>
      </c>
      <c r="B8" s="64">
        <v>45849.705555555556</v>
      </c>
      <c r="C8" s="62" t="s">
        <v>10</v>
      </c>
      <c r="D8" s="62" t="s">
        <v>349</v>
      </c>
      <c r="E8" s="62" t="s">
        <v>130</v>
      </c>
      <c r="F8" s="62" t="s">
        <v>130</v>
      </c>
      <c r="G8" s="62" t="s">
        <v>159</v>
      </c>
      <c r="H8" s="63" t="s">
        <v>350</v>
      </c>
    </row>
    <row r="9">
      <c r="A9" s="61">
        <v>3.4684381057E10</v>
      </c>
      <c r="B9" s="65"/>
      <c r="C9" s="62" t="s">
        <v>10</v>
      </c>
      <c r="D9" s="62" t="s">
        <v>354</v>
      </c>
      <c r="E9" s="62" t="s">
        <v>130</v>
      </c>
      <c r="F9" s="62" t="s">
        <v>130</v>
      </c>
      <c r="G9" s="62" t="s">
        <v>159</v>
      </c>
      <c r="H9" s="63" t="s">
        <v>355</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13"/>
    <col customWidth="1" min="3" max="3" width="21.88"/>
    <col customWidth="1" min="4" max="4" width="79.75"/>
    <col customWidth="1" min="5" max="5" width="72.5"/>
    <col customWidth="1" min="7" max="8" width="49.88"/>
    <col customWidth="1" min="9" max="9" width="22.88"/>
  </cols>
  <sheetData>
    <row r="1">
      <c r="A1" s="1" t="str">
        <f>'Resultados Live'!A1</f>
        <v>Teléfono cliente</v>
      </c>
      <c r="B1" s="1" t="str">
        <f>'Resultados Live'!B1</f>
        <v>Día / Hora</v>
      </c>
      <c r="C1" s="2" t="str">
        <f>'Resultados Live'!C1</f>
        <v>Tipo de acción</v>
      </c>
      <c r="D1" s="2" t="str">
        <f>'Resultados Live'!D1</f>
        <v>Respuesta</v>
      </c>
      <c r="E1" s="2" t="s">
        <v>411</v>
      </c>
      <c r="F1" s="1" t="str">
        <f>'Resultados Live'!G1</f>
        <v>Valoración respuesta (Precisión)</v>
      </c>
      <c r="G1" s="2" t="str">
        <f>'Resultados Live'!H1</f>
        <v>Resultado deseado</v>
      </c>
      <c r="H1" s="2" t="s">
        <v>412</v>
      </c>
      <c r="I1" s="2" t="s">
        <v>413</v>
      </c>
      <c r="J1" s="5"/>
      <c r="K1" s="5"/>
      <c r="L1" s="5"/>
      <c r="M1" s="5"/>
      <c r="N1" s="5"/>
      <c r="O1" s="5"/>
      <c r="P1" s="5"/>
      <c r="Q1" s="5"/>
      <c r="R1" s="5"/>
      <c r="S1" s="5"/>
      <c r="T1" s="5"/>
      <c r="U1" s="5"/>
      <c r="V1" s="5"/>
      <c r="W1" s="5"/>
      <c r="X1" s="5"/>
      <c r="Y1" s="5"/>
      <c r="Z1" s="66"/>
      <c r="AA1" s="66"/>
    </row>
    <row r="2">
      <c r="A2" s="53">
        <f>'Resultados Live'!A2</f>
        <v>34673506050</v>
      </c>
      <c r="B2" s="53" t="str">
        <f>'Resultados Live'!B2</f>
        <v>18-09-2025 13:28</v>
      </c>
      <c r="C2" s="53" t="str">
        <f>'Resultados Live'!C2</f>
        <v>Incidencia</v>
      </c>
      <c r="D2" s="67" t="str">
        <f>'Resultados Live'!D2</f>
        <v>Hola
Tengo un problema, me puede. Ayudar
Por favor, indícame con más detalle en qué puedo ayudarte para derivarte al área correcta.
Se me pinchó una rueda
"Parece que necesita asistencia en carretera. Para ello, llame al servicio en carretera 24/7 de RACE en el siguiente número: 900 112 222.
¿Puedo ayudarle con algo más?"</v>
      </c>
      <c r="E2" s="67" t="str">
        <f>IFERROR(__xludf.DUMMYFUNCTION("AI(""Resume contenido en español"",D2)"),"Una persona necesita ayuda con una rueda pinchada. La respuesta sugiere llamar al servicio de asistencia en carretera 24/7 de RACE.")</f>
        <v>Una persona necesita ayuda con una rueda pinchada. La respuesta sugiere llamar al servicio de asistencia en carretera 24/7 de RACE.</v>
      </c>
      <c r="F2" s="53" t="str">
        <f>'Resultados Live'!G2</f>
        <v>Mejorable</v>
      </c>
      <c r="G2" s="67" t="str">
        <f>'Resultados Live'!H2</f>
        <v>No se solicitó DNI y no podemos hacer seguimiento</v>
      </c>
      <c r="H2" s="68" t="s">
        <v>414</v>
      </c>
      <c r="I2" s="54" t="s">
        <v>415</v>
      </c>
    </row>
    <row r="3">
      <c r="A3" s="53">
        <f>'Resultados Live'!A3</f>
        <v>34611579954</v>
      </c>
      <c r="B3" s="53" t="str">
        <f>'Resultados Live'!B3</f>
        <v>18-09-2025 17:43</v>
      </c>
      <c r="C3" s="53" t="str">
        <f>'Resultados Live'!C3</f>
        <v>Incidencia</v>
      </c>
      <c r="D3" s="67" t="str">
        <f>'Resultados Live'!D3</f>
        <v>Hola
Alguien me atiende porfi
Esto no me va
Y tengo mis cosas en el coche
"¡Hola! Soy Corporín, tu asistente virtual de AVIS Corporate en Canarias. Veo que tienes problemas para acceder a tu coche y necesitas tus pertenencias.
Para poder ayudarte mejor, ¿podrías decirme cuál de estas situaciones describe mejor tu problema?
1. El vehículo no está disponible
2. No aparece la llave digital en la app
3. El botón de abrir/cerrar se queda en carga
4. Aparece una pantalla verde en la app
Por favor, indícame cuál se ajusta más a lo que te ocurre. ¡Así podré darte la solución más rápida!"
Que me abran el coche ya porfi
Llevo más de 1h aquí
"Entiendo que es una situación urgente y quiero ayudarte lo más rápido posible. Para poder abrir el coche y devolverte el acceso, necesito que me indiques cuál de estas situaciones se ajusta más a tu problema:
1. El vehículo no está disponible
2. No aparece la llave digital en la app
3. El botón de abrir/cerrar se queda en carga
4. Aparece una pantalla verde en la app
Por favor, dime el número o la opción que más se parece a lo que ves en tu app. ¡Así podré darte la solución al momento!"
"Entiendo perfectamente tu urgencia y lamento mucho la espera. Para poder abrir el coche y ayudarte lo más rápido posible, necesito que me indiques cuál de estas situaciones se ajusta mejor a tu problema:
1. El vehículo no está disponible
2. No aparece la llave digital en la app
3. El botón de abrir/cerrar se queda en carga
4. Aparece una pantalla verde en la app
Por favor, dime el número o la descripción que más se parece a lo que ves, así podré darte la solución inmediata. ¡Estoy aquí para ayudarte!"
Holaa
Que me contesta alguien
Porfi 🙏
Me podáis abrir este coche
"Entiendo perfectamente tu urgencia y quiero ayudarte lo antes posible. Para poder abrir el coche y devolverte el acceso, necesito que me indiques exactamente cuál de estas situaciones ves en tu app:
1. El vehículo no está disponible
2. No aparece la llave digital en la app
3. El botón de abrir/cerrar se queda en carga
4. Aparece una pantalla verde en la app
Por favor, dime el número o la opción que más se parece a lo que ves. ¡Así podré darte la solución inmediata y ayudarte a recuperar tus cosas!"
Si está disponible
"¡Hola! Veo que el coche sí aparece como disponible, así que vamos a descartar esa opción. Para poder ayudarte a abrirlo, necesito que me indiques cuál de estas situaciones se ajusta mejor a lo que ves en la app:
1. ¿No aparece la llave digital en la app?
2. ¿El botón de abrir/cerrar se queda en carga?
3. ¿Te aparece una pantalla verde?
Por favor, dime el número o la opción que más se parece a tu caso. ¡Así podré darte la solución al momento!"
No aparece la llave digital
Me la puedes dar porfi
En la aplicación no tengo la llave
Debe buscar cobertura y abrir la llave digital. Una vez abierta, acérquese al coche y vuelva a intentar abrir y cerrar el vehículo. Revisa esta indicación y dime si consigues acceder, por favor. Si sigues teniendo problemas, avísame para ayudarte con el siguiente paso.
Por favor
Se lo pido
Esto no me va
Y tengo vuelo
Alguien me puede llamar
Alguien me puede llamar
Veo que sigues sin poder acceder al coche y necesitas una solución urgente porque tienes un vuelo. Para poder ayudarte lo más rápido posible, por favor, facilítame tu DNI. Así podré gestionar tu incidencia de inmediato y darte la mejor solución.
X9571734P
Tu solicitud ha sido enviada. Un agente de soporte te atenderá lo antes posible. Gracias por tu paciencia.
Tu solicitud ha sido enviada. Un agente de soporte te atenderá lo antes posible. Gracias por tu paciencia.
Que me llame ya
No aguanto más
Tu solicitud ha sido enviada. Un agente de soporte te atenderá lo antes posible. Gracias por tu paciencia.
Que pasa
Alguien me puede abrir el coche
Por favor
Se lo pido
Por favor 🙏
Me pidáis abrir el coche
Os he dado toda la información mía
Cuando me van a llamar ?
Nunca por lo que veo
Que pasa
Tu solicitud ha sido enviada. Un agente de soporte te atenderá lo antes posible. Gracias por tu paciencia.
Tu solicitud ha sido enviada. Un agente de soporte te atenderá lo antes posible. Gracias por tu paciencia.</v>
      </c>
      <c r="E3" s="67" t="str">
        <f>IFERROR(__xludf.DUMMYFUNCTION("AI(""Resume contenido en español"",D3)"),"Un cliente está teniendo problemas para acceder a su coche de AVIS Corporate y necesita sus pertenencias. Después de varias interacciones con un asistente virtual, donde se le pide que identifique el problema de una lista de opciones y luego proporcione s"&amp;"u DNI, la solicitud del cliente es finalmente enviada a un agente de soporte. El cliente expresa frustración por la demora y la falta de acceso a su vehículo.")</f>
        <v>Un cliente está teniendo problemas para acceder a su coche de AVIS Corporate y necesita sus pertenencias. Después de varias interacciones con un asistente virtual, donde se le pide que identifique el problema de una lista de opciones y luego proporcione su DNI, la solicitud del cliente es finalmente enviada a un agente de soporte. El cliente expresa frustración por la demora y la falta de acceso a su vehículo.</v>
      </c>
      <c r="F3" s="53" t="str">
        <f>'Resultados Live'!G3</f>
        <v>Mejorable</v>
      </c>
      <c r="G3" s="67" t="str">
        <f>'Resultados Live'!H3</f>
        <v>No se indicó horario atención al cliente. No se detectó la incidencia de pertenencias dentro del vehículo.</v>
      </c>
      <c r="H3" s="68" t="s">
        <v>416</v>
      </c>
      <c r="I3" s="54" t="s">
        <v>417</v>
      </c>
    </row>
    <row r="4" hidden="1">
      <c r="A4" s="53">
        <f>'Resultados Live'!A4</f>
        <v>33619518584</v>
      </c>
      <c r="B4" s="53" t="str">
        <f>'Resultados Live'!B4</f>
        <v>18-09-2025 19:02</v>
      </c>
      <c r="C4" s="53" t="str">
        <f>'Resultados Live'!C4</f>
        <v>Incidencia</v>
      </c>
      <c r="D4" s="53" t="str">
        <f>'Resultados Live'!D4</f>
        <v>Hola, cogí el coche ayer, 17/09/2025, a las 20:00, hasta hoy, 18/09/2025, a las 11:00. Olvidé mis AirPods en el coche. Gracias por tus comentarios.
"¡Hola! Soy Corporín, tu asistente virtual de AVIS Corporate en Canarias. Gracias por contactarnos.
He visto que has olvidado tus AirPods en el coche que alquilaste. Para poder ayudarte a gestionar la recuperación de tus pertenencias, por favor, facilítame tu DNI.
En cuanto lo reciba, gestiono la incidencia y te indico los siguientes pasos."</v>
      </c>
      <c r="F4" s="53" t="str">
        <f>'Resultados Live'!G4</f>
        <v>Bien</v>
      </c>
      <c r="G4" s="53" t="str">
        <f>'Resultados Live'!H4</f>
        <v/>
      </c>
      <c r="H4" s="53" t="str">
        <f>'Resultados Live'!I4</f>
        <v/>
      </c>
    </row>
    <row r="5">
      <c r="A5" s="53">
        <f>'Resultados Live'!A5</f>
        <v>34662266240</v>
      </c>
      <c r="B5" s="53" t="str">
        <f>'Resultados Live'!B5</f>
        <v>18-09-2025 20:38</v>
      </c>
      <c r="C5" s="53" t="str">
        <f>'Resultados Live'!C5</f>
        <v>Incidencia</v>
      </c>
      <c r="D5" s="67" t="str">
        <f>'Resultados Live'!D5</f>
        <v>Que debo hacer
Por favor, indícame con más detalle en qué puedo ayudarte para derivarte al área correcta.
Cuando enciendo el coche me dice servicio de aceite necesario
"¡Hola! El mensaje ""servicio de aceite necesario"" indica que tu coche necesita una revisión técnica. Para este tipo de situaciones, te recomendamos que llames al servicio de asistencia en carretera de RACE, disponible 24/7, en el número 900 112 222.
Además, hemos registrado tu incidencia para que quede constancia en nuestro sistema. Si necesitas ayuda con algo más, aquí estoy para ayudarte."</v>
      </c>
      <c r="E5" s="67" t="str">
        <f>IFERROR(__xludf.DUMMYFUNCTION("AI(""Resume contenido en español"",D5)"),"El texto incluye una consulta sobre un mensaje de ""servicio de aceite necesario"" en un coche y la respuesta que recomienda llamar al servicio de asistencia en carretera de RACE. También se menciona que la incidencia ha sido registrada.")</f>
        <v>El texto incluye una consulta sobre un mensaje de "servicio de aceite necesario" en un coche y la respuesta que recomienda llamar al servicio de asistencia en carretera de RACE. También se menciona que la incidencia ha sido registrada.</v>
      </c>
      <c r="F5" s="53" t="str">
        <f>'Resultados Live'!G5</f>
        <v>Mejorable</v>
      </c>
      <c r="G5" s="67" t="str">
        <f>'Resultados Live'!H5</f>
        <v>No sabemos que coche ni cliente és</v>
      </c>
      <c r="H5" s="68" t="s">
        <v>414</v>
      </c>
      <c r="I5" s="54" t="s">
        <v>415</v>
      </c>
    </row>
    <row r="6" hidden="1">
      <c r="A6" s="53">
        <f>'Resultados Live'!A6</f>
        <v>34695600242</v>
      </c>
      <c r="B6" s="53" t="str">
        <f>'Resultados Live'!B6</f>
        <v>19-09-2025 09:27</v>
      </c>
      <c r="C6" s="53" t="str">
        <f>'Resultados Live'!C6</f>
        <v>Consulta</v>
      </c>
      <c r="D6" s="53" t="str">
        <f>'Resultados Live'!D6</f>
        <v>Hola
¡Hola! Soy Corporín, tu asistente virtual de AVIS Corporate en Canarias. ¿En qué puedo ayudarte hoy?
Quiero alquilar un coche en Gran Canaria para el mes que viene, cuáles son los requisitos?
"Para alquilar un coche en Gran Canaria con AVIS Corporate Canarias debes cumplir estos requisitos:
- Tener al menos 21 años.
- Contar con un permiso de conducir con al menos 1 año de antigüedad.
- Presentar una tarjeta de crédito a tu nombre para formalizar la reserva y bloquear la fianza.
- Si tu permiso de conducir es extranjero, debe estar en formato reconocido por la normativa española; si no está en español, se recomienda llevar también el Permiso Internacional de Conducción o una traducción oficial, junto con DNI o pasaporte vigente.
Además, la validación de tu documentación suele completarse en menos de 24 horas tras subirla a la app.
¿Necesitas que te ayude con algo más?"
Si, desde que web puedo hacer la reserva?
"Para hacer una reserva con AVIS Corporate Canarias debes utilizar la app de AVIS Corporate Canarias. La web es solo informativa y no permite realizar reservas.  
¿Necesitas que te ayude con algo más?"
Me pasas el enlace a la descarga de la app?
Para descargar la app de AVIS Corporate Canarias, puedes buscarla directamente en la tienda de aplicaciones de tu móvil (App Store para iOS o Google Play para Android) con el nombre "AVIS Corporate Canarias". La app es necesaria para realizar reservas y gestionar tus alquileres. ¿Necesitas que te ayude con algo más?
Si, ya tengo una reserva pero la app no funciona, se ve todo negro
"¡Gracias por la información! Para poder ayudarte con la incidencia de la app que se ve en negro, ¿podrías confirmarme si el problema ocurre al abrir la app o al intentar acceder a tu reserva? ¿Ocurre en todo momento o solo en una sección concreta? 
Con estos detalles podré tipificar correctamente la incidencia y darte la mejor solución."
Al acceder a mi reserva
Gracias por la información. Para poder ayudarte con el problema de la app al acceder a tu reserva, ¿podrías facilitarme tu DNI? Así podremos gestionar tu incidencia correctamente y darte una solución lo antes posible.</v>
      </c>
      <c r="F6" s="53" t="str">
        <f>'Resultados Live'!G6</f>
        <v>Bien</v>
      </c>
      <c r="G6" s="53" t="str">
        <f>'Resultados Live'!H6</f>
        <v>Parece una prueba interna</v>
      </c>
      <c r="H6" s="53" t="str">
        <f>'Resultados Live'!I6</f>
        <v/>
      </c>
    </row>
    <row r="7">
      <c r="A7" s="53">
        <f>'Resultados Live'!A7</f>
        <v>34674739192</v>
      </c>
      <c r="B7" s="53" t="str">
        <f>'Resultados Live'!B7</f>
        <v>19-09-2025 13:55</v>
      </c>
      <c r="C7" s="53" t="str">
        <f>'Resultados Live'!C7</f>
        <v>Consulta</v>
      </c>
      <c r="D7" s="67" t="str">
        <f>'Resultados Live'!D7</f>
        <v>Hola
¡Hola! Soy Corporín, tu asistente virtual de AVIS Corporate en Canarias. ¿En qué puedo ayudarte hoy?
Necesito alquilar un coche en fuerteventura hoy pero me han pedido actualizar mi documentación en la app, que ya he hecho pero esta pendiente de revisión y no me deja alquilar
"Entiendo la situación: has actualizado tu documentación en la app, pero sigue pendiente de revisión y no puedes alquilar el coche que necesitas hoy en Fuerteventura.
Lo primero que te recomiendo es cancelar la reserva actual y generar una nueva, ya que a veces el sistema necesita refrescar la información para validar la documentación. Si lo consideras oportuno, puedes presentar una reclamación escribiendo a corporate@aviscanarias.es.
Para poder ayudarte y gestionar tu caso de forma más directa, ¿podrías facilitarme tu DNI, por favor?"
44735051M
"Tu caso ha sido enviado a nuestro departamento de Atención al Cliente y se tramitará en los próximos días. Si necesitas alquilar un coche urgentemente, te recomiendo cancelar la reserva actual y generar una nueva desde la app.
¿Puedo ayudarte con algo más?"</v>
      </c>
      <c r="E7" s="67" t="str">
        <f>IFERROR(__xludf.DUMMYFUNCTION("AI(""Resume contenido en español"",D7)"),"El usuario necesita alquilar un coche en Fuerteventura, pero su documentación en la app de AVIS Corporate está pendiente de revisión y no le permite alquilar. Corporín, el asistente virtual, sugiere cancelar la reserva actual y generar una nueva, así como"&amp;" presentar una reclamación a corporate@aviscanarias.es. También pide el DNI del usuario para gestionar el caso. Posteriormente, informa que el caso ha sido enviado al departamento de Atención al Cliente y que se tramitará en los próximos días, recomendand"&amp;"o cancelar la reserva actual y generar una nueva si necesita un coche urgentemente.")</f>
        <v>El usuario necesita alquilar un coche en Fuerteventura, pero su documentación en la app de AVIS Corporate está pendiente de revisión y no le permite alquilar. Corporín, el asistente virtual, sugiere cancelar la reserva actual y generar una nueva, así como presentar una reclamación a corporate@aviscanarias.es. También pide el DNI del usuario para gestionar el caso. Posteriormente, informa que el caso ha sido enviado al departamento de Atención al Cliente y que se tramitará en los próximos días, recomendando cancelar la reserva actual y generar una nueva si necesita un coche urgentemente.</v>
      </c>
      <c r="F7" s="53" t="str">
        <f>'Resultados Live'!G7</f>
        <v>Mejorable</v>
      </c>
      <c r="G7" s="67" t="str">
        <f>'Resultados Live'!H7</f>
        <v>Esta parte está mal: Lo primero que te recomiendo es cancelar la reserva actual y generar una nueva, ya que a veces el sistema necesita refrescar la información para validar la documentación.
No es necesario cancelar la reserva, solo esperar a que le validen. Si le urge, llamar por teléfono si está en horario.</v>
      </c>
      <c r="H7" s="68" t="s">
        <v>418</v>
      </c>
      <c r="I7" s="54" t="s">
        <v>419</v>
      </c>
    </row>
    <row r="8">
      <c r="A8" s="53">
        <f>'Resultados Live'!A8</f>
        <v>393488844329</v>
      </c>
      <c r="B8" s="53" t="str">
        <f>'Resultados Live'!B8</f>
        <v>19-09-2025 16:40</v>
      </c>
      <c r="C8" s="53" t="str">
        <f>'Resultados Live'!C8</f>
        <v>Consulta</v>
      </c>
      <c r="D8" s="67" t="str">
        <f>'Resultados Live'!D8</f>
        <v>Quanto tempo prima si può annullare una prenotazione?
Puedes cancelar una reserva sin coste siempre y cuando se realice antes de la fecha de inicio del contrato. ¿Necesitas que te ayude con algo más?
Traducir en italiano
Puoi cancellare una prenotazione senza costi purché la cancellazione avvenga prima della data di inizio del contratto. Posso aiutarti con qualcos'altro?
No gracias
Gracias a ti. Que tengas un buen día.</v>
      </c>
      <c r="E8" s="67" t="str">
        <f>IFERROR(__xludf.DUMMYFUNCTION("AI(""Resume contenido en español"",D8)"),"Puedes cancelar una reserva sin costo siempre que se realice antes de la fecha de inicio del contrato.")</f>
        <v>Puedes cancelar una reserva sin costo siempre que se realice antes de la fecha de inicio del contrato.</v>
      </c>
      <c r="F8" s="53" t="str">
        <f>'Resultados Live'!G8</f>
        <v>Mejorable</v>
      </c>
      <c r="G8" s="67" t="str">
        <f>'Resultados Live'!H8</f>
        <v>Todo OK, primera respuesta en el mismo idioma que pregunta sería ideal</v>
      </c>
      <c r="H8" s="68" t="s">
        <v>420</v>
      </c>
      <c r="I8" s="54" t="s">
        <v>417</v>
      </c>
    </row>
    <row r="9" hidden="1">
      <c r="A9" s="53">
        <f>'Resultados Live'!A9</f>
        <v>34672049775</v>
      </c>
      <c r="B9" s="53" t="str">
        <f>'Resultados Live'!B9</f>
        <v>20-09-2025 11:13</v>
      </c>
      <c r="C9" s="53" t="str">
        <f>'Resultados Live'!C9</f>
        <v>Incidencia</v>
      </c>
      <c r="D9" s="53" t="str">
        <f>'Resultados Live'!D9</f>
        <v>Buenos días
¡Hola! Soy Corporín, tu asistente virtual de AVIS Corporate en Canarias. ¿En qué puedo ayudarte hoy?
Acabo de reservar un coche y cuando lo fuy a coger me pone que alguien ha sido más rápido que yo y ahora no me deja cancelar
"Parece que el vehículo asignado a tu reserva no se encuentra disponible en este momento. Por favor, intenta cancelar la reserva actual y genera una nueva para que podamos asignarte otro vehículo. Si lo consideras oportuno, puedes presentar una reclamación escribiendo a corporate@aviscanarias.es. 
Para poder compensar el viaje inicial no disfrutado y gestionar tu incidencia correctamente, ¿podrías facilitarme tu DNI?"
42412258M
"Se ha registrado tu incidencia y se ha enviado al departamento correspondiente. Al estar fuera de nuestro horario laboral, te llamarán cuando estemos en horario (de lunes a viernes, de 08:00 a 20:00h). 
¿Hay algo más en lo que pueda ayudarte?"
No muchas gracias
¡Perfecto! Si necesitas cualquier otra cosa en el futuro, no dudes en contactarnos. Que tengas un buen día.</v>
      </c>
      <c r="F9" s="53" t="str">
        <f>'Resultados Live'!G9</f>
        <v>Bien</v>
      </c>
      <c r="G9" s="53" t="str">
        <f>'Resultados Live'!H9</f>
        <v/>
      </c>
      <c r="H9" s="53" t="str">
        <f>'Resultados Live'!I9</f>
        <v/>
      </c>
    </row>
    <row r="10" hidden="1">
      <c r="A10" s="53">
        <f>'Resultados Live'!A10</f>
        <v>34679007769</v>
      </c>
      <c r="B10" s="53" t="str">
        <f>'Resultados Live'!B10</f>
        <v>20-09-2025 13:36</v>
      </c>
      <c r="C10" s="53" t="str">
        <f>'Resultados Live'!C10</f>
        <v>Incidencia</v>
      </c>
      <c r="D10" s="53" t="str">
        <f>'Resultados Live'!D10</f>
        <v>Hola buenas
Estoy intentando abrir el coche y no me deja
"¡Hola! Soy Corporín, tu asistente virtual de AVIS Corporate en Canarias.
Veo que tienes problemas para abrir el coche. Para poder ayudarte mejor, ¿podrías decirme cuál de estas situaciones describe mejor tu problema?
1. El vehículo no está disponible.
2. No aparece la llave digital en la app.
3. El botón de abrir/cerrar se queda cargando y no responde.
4. Aparece una pantalla verde.
Por favor, dime cuál de estas opciones se ajusta a lo que te ocurre."
El coche pone que no esta en la provincia del contrato
"¡Gracias por la información! El mensaje que ves (""el coche pone que no está en la provincia del contrato"") encaja con la subincidencia ""Vehículo no disponible"".
Para poder ayudarte y escalar la incidencia correctamente, por favor, facilítame tu DNI.
Además, te informo que actualmente estamos fuera de nuestro horario laboral (lunes a viernes, de 08:00 a 20:00 en Canarias). En cuanto nos lo envíes, enviaré tu incidencia y nuestro Call Center te contactará cuando estemos en horario laboral."
05307598A
"¡Gracias! He registrado tu incidencia correctamente y la he escalado para que nuestro Call Center te contacte en cuanto estemos en horario laboral (lunes a viernes, de 08:00 a 20:00 en Canarias).
¿Hay algo más en lo que pueda ayudarte?"
El coche lo necesito para el finde semana
No puedo esperar al lunes
Por favor, indícame con más detalle en qué puedo ayudarte para derivarte al área correcta.
Tu solicitud ha sido enviada. Un agente de soporte te atenderá lo antes posible. Gracias por tu paciencia.
No hay opción de abrir el vehículo podría ser por que el anterior contrato no cerró su reserva?
"No existe una función para pausar el viaje; el vehículo se puede abrir y cerrar durante la reserva, pero se sigue cobrando por el tiempo de uso mientras esté reservado. Por tanto, si el vehículo no se puede abrir, podría deberse a que el contrato anterior no se cerró correctamente, pero para resolverlo es necesario contactar con el Centro de Atención 24 h para que te guíen y reactiven la llave digital o te proporcionen asistencia presencial.
¿Necesitas que te ayude con algo más?"
Sí que teléfono sería?
"Actualmente estamos fuera de nuestro horario laboral y tu incidencia ya ha sido escalada para que el Call Center te contacte en cuanto sea posible. Si necesitas asistencia urgente, te recomiendo esperar a que nuestro equipo se ponga en contacto contigo en el horario indicado.
¿Hay algo más en lo que pueda ayudarte?"
Si es urgente debería ser inmediato no esperar al lunes
Ya que el coche lo necesito para el fin de semana
Y no ponen ninguna solución
Tu solicitud ha sido enviada. Un agente de soporte te atenderá lo antes posible. Gracias por tu paciencia.
Tu solicitud ha sido enviada. Un agente de soporte te atenderá lo antes posible. Gracias por tu paciencia.</v>
      </c>
      <c r="F10" s="53" t="str">
        <f>'Resultados Live'!G10</f>
        <v>Bien</v>
      </c>
      <c r="G10" s="53" t="str">
        <f>'Resultados Live'!H10</f>
        <v>Este error es puntual y no estaba programado. Por tanto, damos la respuesta por OK</v>
      </c>
      <c r="H10" s="53" t="str">
        <f>'Resultados Live'!I10</f>
        <v/>
      </c>
    </row>
    <row r="11">
      <c r="A11" s="53">
        <f>'Resultados Live'!A11</f>
        <v>34699470701</v>
      </c>
      <c r="B11" s="53" t="str">
        <f>'Resultados Live'!B11</f>
        <v>20-09-2025 19:34</v>
      </c>
      <c r="C11" s="53" t="str">
        <f>'Resultados Live'!C11</f>
        <v>Incidencia</v>
      </c>
      <c r="D11" s="67" t="str">
        <f>'Resultados Live'!D11</f>
        <v>Hola. Tengo una urgencia
0667 MNJ
Por favor, indícame con más detalle en qué puedo ayudarte para derivarte al área correcta.
"¡Hola! Soy Corporín, tu asistente virtual de AVIS Corporate en Canarias. Actualmente estamos fuera de nuestro horario laboral (lunes a viernes, de 08:00 a 20:00 en Canarias), pero he recibido tu mensaje y la matrícula 0667 MNJ.
Por favor, cuéntame brevemente cuál es la urgencia o el problema que tienes con el vehículo para poder ayudarte en cuanto volvamos a estar operativos. ¿Qué ha sucedido exactamente?"
Por favor pueden llamar 699470701
Tu solicitud ha sido enviada. Un agente de soporte te atenderá lo antes posible. Gracias por tu paciencia.
Tengo un vehículo alquilado por avis corporate y accidentalmente con el movil en el bolsillo me cerro la entrega
"Hemos registrado tu incidencia: al cerrar la entrega del vehículo con el móvil, ahora no puedes acceder al coche. Como estamos fuera de nuestro horario laboral (lunes a viernes, de 08:00 a 20:00 en Canarias), hemos enviado tu caso a nuestro Call Center y te llamarán en cuanto volvamos a estar operativos.
¿Hay algo más en lo que pueda ayudarte?"
Estoy en Costa calma con mis cosas dentro del vehículo y necesito entrar para ir al hotel
Necesito ayuda urgente
"Entiendo tu situación y lamento las molestias. Para poder ayudarte a recuperar tus pertenencias y acceder al vehículo, por favor facilítame tu DNI. Así podremos gestionar tu incidencia correctamente y asegurarnos de que el Call Center te contacte en cuanto volvamos a estar operativos (lunes a viernes, de 08:00 a 20:00 en Canarias).
¿Podrías indicarme tu DNI, por favor?"
Como abrir nuevamente el alquiler de este mismo vehiculo
Dni 42849158c
"Para abrir nuevamente el alquiler del mismo vehículo, no es posible adelantar la recogida desde la app. Debes cancelar la reserva actual sin coste si lo haces antes de la fecha de inicio del contrato y luego generar una nueva reserva ajustando la hora inicial deseada.  
¿Necesitas que te ayude con algo más?"
Emilio Roberto Domínguez Guerra
"Se ha registrado tu incidencia correctamente: al cerrar la entrega del vehículo con el móvil, ahora no puedes acceder al coche y tus pertenencias están dentro. Como estamos fuera de nuestro horario laboral, hemos enviado tu caso a nuestro Call Center y te llamarán en cuanto volvamos a estar operativos (lunes a viernes, de 08:00 a 20:00 en Canarias).
¿Hay algo más en lo que pueda ayudarte?"
Pero como coger el mismo vehículo?
"Tu incidencia ha sido registrada y enviada a nuestro Call Center. Como estamos fuera de horario laboral, te llamarán en cuanto volvamos a estar operativos (lunes a viernes, de 08:00 a 20:00 en Canarias) para ayudarte a recuperar el acceso a tu vehículo y tus pertenencias.
¿Hay algo más en lo que pueda ayudarte ahora?"
"¡Hola! Entiendo perfectamente tu preocupación y la urgencia de la situación. Actualmente, una vez que se ha cerrado la entrega del vehículo con el móvil, no es posible reabrir el mismo alquiler desde la app ni asignar el mismo coche de forma inmediata. La única opción es cancelar la reserva actual (si aún no ha comenzado) y realizar una nueva reserva, pero no podemos garantizar que sea el mismo vehículo.
Como ya hemos registrado tu incidencia y estamos fuera de horario laboral, nuestro Call Center te contactará en cuanto volvamos a estar operativos para ayudarte lo antes posible.
¿Hay algo más en lo que pueda ayudarte mientras tanto?"
Por dios. El alquiler por medio de la aplicación me deriva a recoger el vehículo a 60 km
"¡Hola de nuevo! Entiendo perfectamente tu frustración por la distancia a la que la app te asigna el nuevo vehículo. Por el momento, como estamos fuera de horario laboral, no puedo modificar la asignación ni garantizar que puedas recoger el mismo coche.
Ya hemos registrado tu incidencia y el Call Center te contactará en cuanto volvamos a estar operativos para buscar la mejor solución posible. Si necesitas que anote algún detalle adicional en tu incidencia, házmelo saber y lo gestiono para que lo tengan en cuenta en cuanto te llamen.
¿Hay algo más en lo que pueda ayudarte ahora?"</v>
      </c>
      <c r="E11" s="67" t="str">
        <f>IFERROR(__xludf.DUMMYFUNCTION("AI(""Resume contenido en español"",D11)"),"El usuario tiene una urgencia con un vehículo de Avis Corporate, matrícula 0667 MNJ, que cerró accidentalmente desde su móvil, impidiéndole acceder a sus pertenencias. El servicio al cliente está fuera de horario (lunes a viernes, de 08:00 a 20:00 en Cana"&amp;"rias) y le ha indicado que un agente le contactará. También le han informado que no es posible reabrir el mismo alquiler ni garantizar el mismo vehículo, sugiriendo cancelar y hacer una nueva reserva. El usuario está frustrado porque la aplicación le asig"&amp;"na un nuevo vehículo a 60 km.")</f>
        <v>El usuario tiene una urgencia con un vehículo de Avis Corporate, matrícula 0667 MNJ, que cerró accidentalmente desde su móvil, impidiéndole acceder a sus pertenencias. El servicio al cliente está fuera de horario (lunes a viernes, de 08:00 a 20:00 en Canarias) y le ha indicado que un agente le contactará. También le han informado que no es posible reabrir el mismo alquiler ni garantizar el mismo vehículo, sugiriendo cancelar y hacer una nueva reserva. El usuario está frustrado porque la aplicación le asigna un nuevo vehículo a 60 km.</v>
      </c>
      <c r="F11" s="53" t="str">
        <f>'Resultados Live'!G11</f>
        <v>Mejorable</v>
      </c>
      <c r="G11" s="67" t="str">
        <f>'Resultados Live'!H11</f>
        <v>Está bien el proceso, si bien queremos añadir acceso a los teléfonos de oficinas de aeropuerto para estos cambios</v>
      </c>
      <c r="H11" s="67" t="str">
        <f>'Resultados Live'!I11</f>
        <v/>
      </c>
      <c r="I11" s="54" t="s">
        <v>417</v>
      </c>
    </row>
    <row r="12">
      <c r="A12" s="53">
        <f>'Resultados Live'!A12</f>
        <v>905416393494</v>
      </c>
      <c r="B12" s="53" t="str">
        <f>'Resultados Live'!B12</f>
        <v>21-09-2025 12:42</v>
      </c>
      <c r="C12" s="53" t="str">
        <f>'Resultados Live'!C12</f>
        <v>Incidencia</v>
      </c>
      <c r="D12" s="67" t="str">
        <f>'Resultados Live'!D12</f>
        <v>Hello
¡Hola! Soy Corporín, tu asistente virtual de AVIS Corporate en Canarias. ¿En qué puedo ayudarte hoy?
Borra los documentos que subí. Eres un estafador, te denunciaré. No tengo permiso para borrarlos de tu aplicación.
Tu solicitud ha sido enviada. Un agente de soporte te atenderá lo antes posible. Gracias por tu paciencia.
Cuántos minutos tardará en borrarse? Lo denunciaré ante las autoridades.
Tu solicitud ha sido enviada. Un agente de soporte te atenderá lo antes posible. Gracias por tu paciencia.
También me quejaré de ti a AVIS.
Tu solicitud ha sido enviada. Un agente de soporte te atenderá lo antes posible. Gracias por tu paciencia.</v>
      </c>
      <c r="E12" s="67" t="str">
        <f>IFERROR(__xludf.DUMMYFUNCTION("AI(""Resume contenido en español"",D12)"),"Este es un extracto de una conversación con Corporín, el asistente virtual de AVIS Corporate en Canarias. Un usuario se queja porque no puede borrar documentos y amenaza con denunciar al asistente. El asistente responde que no tiene permiso para borrar lo"&amp;"s documentos y que un agente de soporte atenderá la solicitud del usuario lo antes posible. El usuario insiste en saber cuánto tardará el proceso y en quejarse a AVIS.")</f>
        <v>Este es un extracto de una conversación con Corporín, el asistente virtual de AVIS Corporate en Canarias. Un usuario se queja porque no puede borrar documentos y amenaza con denunciar al asistente. El asistente responde que no tiene permiso para borrar los documentos y que un agente de soporte atenderá la solicitud del usuario lo antes posible. El usuario insiste en saber cuánto tardará el proceso y en quejarse a AVIS.</v>
      </c>
      <c r="F12" s="53" t="str">
        <f>'Resultados Live'!G12</f>
        <v>Mejorable</v>
      </c>
      <c r="G12" s="67" t="str">
        <f>'Resultados Live'!H12</f>
        <v>Debería haber pedido el DNI.</v>
      </c>
      <c r="H12" s="67" t="str">
        <f>'Resultados Live'!I12</f>
        <v/>
      </c>
      <c r="I12" s="54" t="s">
        <v>415</v>
      </c>
    </row>
    <row r="13">
      <c r="A13" s="53">
        <f>'Resultados Live'!A13</f>
        <v>34672049775</v>
      </c>
      <c r="B13" s="53" t="str">
        <f>'Resultados Live'!B13</f>
        <v>22-09-2025 10:56</v>
      </c>
      <c r="C13" s="53" t="str">
        <f>'Resultados Live'!C13</f>
        <v>Incidencia</v>
      </c>
      <c r="D13" s="67" t="str">
        <f>'Resultados Live'!D13</f>
        <v>Buenos días
¡Hola! Soy Corporín, tu asistente virtual de AVIS Corporate en Canarias. ¿En qué puedo ayudarte hoy?
Hay alguna solución con mi incidencia porque estoy llamando por teléfono y la chica me dice que no puede hacer nada y me habéis cobrado 9,90€ cuando yo no he disfrutado del coche
"Tu caso ha sido enviado a nuestro departamento de Atención al Cliente y en los próximos días se tramitará la devolución del importe cobrado. Sentimos las molestias ocasionadas.
¿Hay algo más en lo que pueda ayudarte?"
OK muchas gracias
¡Perfecto! Si necesitas cualquier otra cosa en el futuro, no dudes en contactarnos. Que tengas un buen día.</v>
      </c>
      <c r="E13" s="67" t="str">
        <f>IFERROR(__xludf.DUMMYFUNCTION("AI(""Resume contenido en español"",D13)"),"Un cliente se contacta con el asistente virtual de AVIS Corporate en Canarias, Corporín, para resolver una incidencia relacionada con un cobro de 9,90€ por un coche que no disfrutó. Corporín le informa que su caso ha sido enviado al departamento de Atenci"&amp;"ón al Cliente y que en los próximos días se tramitará la devolución del importe. El cliente agradece la ayuda.")</f>
        <v>Un cliente se contacta con el asistente virtual de AVIS Corporate en Canarias, Corporín, para resolver una incidencia relacionada con un cobro de 9,90€ por un coche que no disfrutó. Corporín le informa que su caso ha sido enviado al departamento de Atención al Cliente y que en los próximos días se tramitará la devolución del importe. El cliente agradece la ayuda.</v>
      </c>
      <c r="F13" s="53" t="str">
        <f>'Resultados Live'!G13</f>
        <v>Mejorable</v>
      </c>
      <c r="G13" s="67" t="str">
        <f>'Resultados Live'!H13</f>
        <v>Debería haber pedido el DNI.</v>
      </c>
      <c r="H13" s="67" t="str">
        <f>'Resultados Live'!I13</f>
        <v/>
      </c>
      <c r="I13" s="54" t="s">
        <v>415</v>
      </c>
    </row>
    <row r="14">
      <c r="A14" s="53">
        <f>'Resultados Live'!A14</f>
        <v>34611579954</v>
      </c>
      <c r="B14" s="53" t="str">
        <f>'Resultados Live'!B14</f>
        <v>22-09-2025 13:20</v>
      </c>
      <c r="C14" s="53" t="str">
        <f>'Resultados Live'!C14</f>
        <v>Consulta</v>
      </c>
      <c r="D14" s="53" t="str">
        <f>'Resultados Live'!D14</f>
        <v>Buenos días
¡Hola! Soy Corporín, tu asistente virtual de AVIS Corporate en Canarias. ¿En qué puedo ayudarte hoy?
Realice una reserva de un coche el jueves pasado ,la cancele al día siguiente,y aún no me han hecho la devolución
Gracias por la información. Para poder gestionar tu incidencia y tramitar la devolución, ¿podrías facilitarme tu DNI, por favor?
16076483n
"Tu incidencia sobre la devolución de la reserva ha sido registrada y enviada al departamento correspondiente. En los próximos días se tramitará la devolución. 
¿Puedo ayudarte con algo más?"
No
¡Perfecto! Si necesitas cualquier otra cosa en el futuro, aquí estaré para ayudarte. Que tengas un excelente día.</v>
      </c>
      <c r="F14" s="53" t="str">
        <f>'Resultados Live'!G14</f>
        <v>Mejorable</v>
      </c>
      <c r="G14" s="53" t="str">
        <f>'Resultados Live'!H14</f>
        <v>Debería explicar que el periodo de reintegro puede durar hasta 10 días según el banco.</v>
      </c>
      <c r="H14" s="53" t="str">
        <f>'Resultados Live'!I14</f>
        <v/>
      </c>
      <c r="I14" s="54" t="s">
        <v>421</v>
      </c>
    </row>
    <row r="15">
      <c r="A15" s="53">
        <f>'Resultados Live'!A15</f>
        <v>34646855091</v>
      </c>
      <c r="B15" s="53" t="str">
        <f>'Resultados Live'!B15</f>
        <v>22-09-2025 15:39</v>
      </c>
      <c r="C15" s="53" t="str">
        <f>'Resultados Live'!C15</f>
        <v>Incidencia</v>
      </c>
      <c r="D15" s="67" t="str">
        <f>'Resultados Live'!D15</f>
        <v>He cancelado la reserva por error
"¡Hola! Soy Corporín, tu asistente virtual de AVIS Corporate en Canarias.
Veo que has cancelado tu reserva por error. Para poder ayudarte a recuperar tu reserva o gestionar una posible compensación, por favor, facilítame tu DNI. Además, te recomiendo que generes una nueva reserva para asegurarte de tener un vehículo disponible.
¿Me puedes indicar tu DNI para continuar con la gestión?"
44737470d
Necesito activar el mismo coche
"¡Gracias por facilitar tu DNI! He registrado tu incidencia y la he enviado al departamento correspondiente para su gestión. 
Te recomiendo que generes una nueva reserva para asegurarte de tener un vehículo disponible. En los próximos días, nuestro equipo tramitará la devolución o compensación correspondiente.
¿Puedo ayudarte con algo más?"
"He gestionado tu solicitud y he informado al departamento correspondiente sobre la cancelación por error y tu petición de reactivar el mismo coche. En los próximos días se pondrán en contacto contigo para darte una solución.
¿Hay algo más en lo que pueda ayudarte?"
Necesito el teléfono de contacto
Puedes llamar al Centro de Atención 24 h de AVIS Corporate Canarias al teléfono 928 092 337 para cualquier consulta o asistencia. ¿Necesitas que te ayude con algo más?</v>
      </c>
      <c r="E15" s="67" t="str">
        <f>IFERROR(__xludf.DUMMYFUNCTION("AI(""Resume contenido en español"",D15)"),"El contenido incluye ejemplos de interacciones con un asistente virtual de AVIS Corporate en Canarias. Se abordan temas como la cancelación de reservas por error, la necesidad de activar el mismo coche y la solicitud del número de teléfono de contacto.")</f>
        <v>El contenido incluye ejemplos de interacciones con un asistente virtual de AVIS Corporate en Canarias. Se abordan temas como la cancelación de reservas por error, la necesidad de activar el mismo coche y la solicitud del número de teléfono de contacto.</v>
      </c>
      <c r="F15" s="53" t="str">
        <f>'Resultados Live'!G15</f>
        <v>Mejorable</v>
      </c>
      <c r="G15" s="67" t="str">
        <f>'Resultados Live'!H15</f>
        <v>Si la reserva está cancelada por error, debería pasar con el call center directamente</v>
      </c>
      <c r="H15" s="67" t="str">
        <f>'Resultados Live'!I15</f>
        <v/>
      </c>
      <c r="I15" s="54" t="s">
        <v>415</v>
      </c>
    </row>
    <row r="16">
      <c r="A16" s="53">
        <f>'Resultados Live'!A16</f>
        <v>34667360241</v>
      </c>
      <c r="B16" s="53" t="str">
        <f>'Resultados Live'!B16</f>
        <v>22-09-2025 22:45</v>
      </c>
      <c r="C16" s="53" t="str">
        <f>'Resultados Live'!C16</f>
        <v>Incidencia</v>
      </c>
      <c r="D16" s="67" t="str">
        <f>'Resultados Live'!D16</f>
        <v>Estoy esperando en el aeropuerto
De Tenerife norte
Por el transfer para que nos recoja
"¡Hola! Soy Corporín, tu asistente virtual de AVIS Corporate en Canarias.
Actualmente estamos fuera de nuestro horario laboral (lunes a viernes, de 08:00 a 20:00 en Canarias). He registrado tu incidencia y nuestro equipo te contactará cuando volvamos a estar operativos. 
¿Podrías facilitarme tu DNI para poder gestionar tu caso correctamente? ¡Gracias por tu paciencia!"
Ya está todo solucionado gracias
¡Perfecto! Me alegra saber que ya está todo solucionado. Si necesitas ayuda en el futuro, aquí estaré para lo que necesites. ¡Que tengas buen viaje!</v>
      </c>
      <c r="E16" s="67" t="str">
        <f>IFERROR(__xludf.DUMMYFUNCTION("AI(""Resume contenido en español"",D16)"),"Un cliente está esperando en el aeropuerto de Tenerife Norte un transfer. Recibe un mensaje de un asistente virtual de AVIS Corporate en Canarias, informándole que están fuera de horario laboral y que su incidencia ha sido registrada, pidiéndole el DNI pa"&amp;"ra gestionar el caso. El cliente confirma que todo está solucionado, y el asistente virtual se alegra y le desea buen viaje.")</f>
        <v>Un cliente está esperando en el aeropuerto de Tenerife Norte un transfer. Recibe un mensaje de un asistente virtual de AVIS Corporate en Canarias, informándole que están fuera de horario laboral y que su incidencia ha sido registrada, pidiéndole el DNI para gestionar el caso. El cliente confirma que todo está solucionado, y el asistente virtual se alegra y le desea buen viaje.</v>
      </c>
      <c r="F16" s="53" t="str">
        <f>'Resultados Live'!G16</f>
        <v>Mal</v>
      </c>
      <c r="G16" s="67" t="str">
        <f>'Resultados Live'!H16</f>
        <v>Debería aportar información del Shuttle (Transfer)</v>
      </c>
      <c r="H16" s="67" t="str">
        <f>'Resultados Live'!I16</f>
        <v/>
      </c>
      <c r="I16" s="54" t="s">
        <v>417</v>
      </c>
    </row>
    <row r="17" hidden="1">
      <c r="A17" s="53">
        <f>'Resultados Live'!A17</f>
        <v>34662266240</v>
      </c>
      <c r="B17" s="53" t="str">
        <f>'Resultados Live'!B17</f>
        <v>23-09-2025 21:45</v>
      </c>
      <c r="C17" s="53" t="str">
        <f>'Resultados Live'!C17</f>
        <v>Incidencia</v>
      </c>
      <c r="D17" s="53" t="str">
        <f>'Resultados Live'!D17</f>
        <v>Hola acabo de alquilar un coche y no se abre la barrera del parking
"¡Hola! Entiendo que acabas de alquilar un coche y no se abre la barrera del parking. Para poder ayudarte y gestionar tu incidencia correctamente, ¿podrías facilitarme tu DNI, por favor? Así podremos registrar el caso y nuestro Call Center te llamará en cuanto estemos en horario laboral (de lunes a viernes, de 08:00 a 20:00 en Canarias).
Quedo pendiente de tu respuesta para ayudarte lo antes posible."
Acabo de alquilar un coche y no se abre la barrera del parking
"¡Hola! Entiendo que acabas de alquilar un coche y no se abre la barrera del parking. Para poder ayudarte y registrar tu incidencia correctamente, ¿podrías facilitarme tu DNI, por favor? Así podremos derivar tu caso y nuestro Call Center te llamará en cuanto estemos en horario laboral (de lunes a viernes, de 08:00 a 20:00 en Canarias).
Quedo pendiente de tu respuesta para ayudarte lo antes posible."</v>
      </c>
      <c r="F17" s="53" t="str">
        <f>'Resultados Live'!G17</f>
        <v>Bien</v>
      </c>
      <c r="G17" s="53" t="str">
        <f>'Resultados Live'!H17</f>
        <v/>
      </c>
      <c r="H17" s="53" t="str">
        <f>'Resultados Live'!I17</f>
        <v/>
      </c>
    </row>
    <row r="18" hidden="1">
      <c r="A18" s="53">
        <f>'Resultados Live'!A18</f>
        <v>34614439256</v>
      </c>
      <c r="B18" s="53" t="str">
        <f>'Resultados Live'!B18</f>
        <v>24-09-2025 09:26</v>
      </c>
      <c r="C18" s="53" t="str">
        <f>'Resultados Live'!C18</f>
        <v>Incidencia</v>
      </c>
      <c r="D18" s="53" t="str">
        <f>'Resultados Live'!D18</f>
        <v>Hola, ya revisaron mis documentos? Paul Mihai Florescu Y7330488B
La validación de tu documentación suele completarse en menos de 24 horas tras subirla a la App. Recibirás un email o notificación cuando tu cuenta esté activa. ¿Necesitas que te ayude con algo más?
Es que quiero reservar un coche, y dice que hay un problema con mi reserva, que tengo que contactarles
"Parece que el vehículo asignado a tu reserva no se encuentra disponible en este momento. Por favor, cancela la reserva actual y genera una nueva para que podamos asignarte otro coche. Si lo consideras oportuno, puedes presentar una reclamación escribiendo a corporate@aviscanarias.es.
Tu caso ya ha sido enviado a nuestro departamento de Atención al Cliente y en los próximos días se tramitará la devolución correspondiente.
¿Hay algo más en lo que pueda ayudarte?"</v>
      </c>
      <c r="F18" s="53" t="str">
        <f>'Resultados Live'!G18</f>
        <v>Bien</v>
      </c>
      <c r="G18" s="53" t="str">
        <f>'Resultados Live'!H18</f>
        <v/>
      </c>
      <c r="H18" s="53" t="str">
        <f>'Resultados Live'!I18</f>
        <v/>
      </c>
    </row>
    <row r="19" hidden="1">
      <c r="A19" s="53">
        <f>'Resultados Live'!A19</f>
        <v>34607961232</v>
      </c>
      <c r="B19" s="53" t="str">
        <f>'Resultados Live'!B19</f>
        <v>24-09-2025 10:22</v>
      </c>
      <c r="C19" s="53" t="str">
        <f>'Resultados Live'!C19</f>
        <v>Incidencia</v>
      </c>
      <c r="D19" s="53" t="str">
        <f>'Resultados Live'!D19</f>
        <v>Hola tengo una reserva y quería confirmar el lugar de recogida
"Puedes recoger tu vehículo en varios puntos de AVIS Corporate en Canarias, dependiendo del lugar de tu reserva:
- Aeropuerto La Palma: Planta -2, plazas con letra G y H. Dirección: Ctra. La Bajita, s/n, 38739 Villa de Mazo, Santa Cruz de Tenerife. Horario 24/7.
- Taller Hyundai iTenerife: Parking del concesionario Hyundai iTenerife. Dirección: Carr. Gral. la Cuesta, 38320 La Laguna, Santa Cruz de Tenerife. Horario: lunes a viernes de 8:00 a 20:00.
- Taller Domingo Alonso Tenerife: Dirección: C. las Macetas, 14, 38108 La Laguna, Santa Cruz de Tenerife. Horario: lunes a viernes de 9:00 a 16:00.
- Aeropuerto Tenerife Norte: Oficinas en Camino San Lazaro, 142. Horario: 7:00 - 23:30.
- Aeropuerto Tenerife Sur: Bus lanzadera desde aparcamiento E07 cada 15 minutos. Horario: 8:00 - 22:30.
- Taller Domingo Alonso Telde: Dirección: C. Simón Bolívar, 11, 35214 Telde, Las Palmas. Horario: lunes a viernes de 8:00 a 16:00.
- Sholeo Lodges Las Palmas: Parking del hotel con acceso mediante PIN. Dirección: C. Rosarito, 15. Horario 24/7.
- Parking Indigo Triana: Primera planta, plazas 1065 y 1066. Dirección: Av. Rafael Cabrera, 7, 35002 Las Palmas. Horario 24/7.
- Parking Subida de Mata: Plazas 7 y 8. Dirección: Carretera de Mata, 35002 Las Palmas. Horario 24/7.
- Taller Hyundai iGran Canaria: Dirección: C. Diego Vega Sarmiento, 11, 35014 Las Palmas. Horario: lunes a viernes de 8:00 a 20:00.
- Taller Domingo Alonso Maspalomas: Dirección: C. Cartago, 13, 35109 El Tablero, Las Palmas. Horario: lunes a viernes de 8:00 a 16:00.
- Taller Domingo Alonso Gran Canaria: Dirección: C. Luis Correa Medina, 23, 35013 Las Palmas. Horario: lunes a viernes de 9:00 a 16:00.
- Aeropuerto Gran Canaria: Llegadas insulares, parking exterior rent a car, plazas AVIS Corporate. Dirección: Ctra. de Gando, 35230 Telde. Horario 24/7.
- Taller Domingo Alonso Fuerteventura: Dirección: Carretera de Zurita Km 2,6 35600, Puerto del Rosario. Horario: lunes a viernes de 9:00 a 16:00.
- Aeropuerto Fuerteventura: Parking rent a car, plazas AVIS Corporate. Dirección: Aeropuerto Matorral Sin Numero, 35610. Horario 24/7.
- Taller Domingo Alonso Lanzarote: Dirección: Carr. San Bartolomé, 84, 35500 Arrecife. Horario: lunes a viernes de 9:00 a 16:00.
- Aeropuerto Lanzarote: Oficinas en Av. Mamerto Cabrera, 86. Servicio shuttle desde Meeting Point cada 10 minutos. Horario: 7:00 a 22:00.
Para más detalles o si necesitas información específica de tu reserva, por favor utiliza la app de AVIS Corporate Canarias.
¿Necesitas que te ayude con algo más?"
Lo e solicitado para el taller i tenerife pero en las instrucciones de recogida dice aeropuerto
"¡Hola! Entiendo que has solicitado la recogida en el taller Hyundai iTenerife pero las instrucciones que has recibido indican el aeropuerto. 
¿Podrías, por favor, revisar en el mapa de tu aplicación AVIS Corporate dónde se indica la ubicación exacta del vehículo? Así podremos confirmar si la ubicación es correcta o si hay algún error. 
Si sigues viendo la discrepancia tras comprobarlo, avísame para ayudarte a gestionarlo."
Me dice upsss algo a fallado
¡Gracias por la información! Veo que la app te muestra un error al intentar ver la ubicación del coche. Para poder ayudarte y gestionar tu incidencia correctamente, ¿podrías facilitarme tu DNI, por favor? Así podremos revisar tu reserva y darte una solución lo antes posible.
78729229E
"Hemos registrado tu incidencia y la estamos gestionando. Como estamos en horario laboral, te recomiendo que llames al siguiente número de asistencia para que puedan ayudarte de inmediato: 928 092 337.
¿Puedo ayudarte con algo más?"
No gracias
¡Incidencia registrada y gestionada correctamente! Si en el futuro necesitas ayuda con cualquier otra cosa, aquí estaré para ayudarte. ¡Que tengas un buen día!</v>
      </c>
      <c r="F19" s="53" t="str">
        <f>'Resultados Live'!G19</f>
        <v>Bien</v>
      </c>
      <c r="G19" s="53" t="str">
        <f>'Resultados Live'!H19</f>
        <v/>
      </c>
      <c r="H19" s="53" t="str">
        <f>'Resultados Live'!I19</f>
        <v/>
      </c>
    </row>
    <row r="20">
      <c r="A20" s="53">
        <f>'Resultados Live'!A20</f>
        <v>573003897007</v>
      </c>
      <c r="B20" s="53" t="str">
        <f>'Resultados Live'!B20</f>
        <v>24-09-2025 10:59</v>
      </c>
      <c r="C20" s="53" t="str">
        <f>'Resultados Live'!C20</f>
        <v>Incidencia</v>
      </c>
      <c r="D20" s="67" t="str">
        <f>'Resultados Live'!D20</f>
        <v>No puedo sacar el coche del parking
Necesito ayuda urgente
"¡Hola! Soy Corporín, tu asistente virtual de AVIS Corporate en Canarias.
Veo que no puedes sacar el coche del parking y necesitas ayuda urgente. Para poder ayudarte lo más rápido posible, ¿podrías decirme cuál de estas situaciones describe mejor tu problema?
1. El vehículo no está disponible
2. No aparece la llave digital en la app
3. El botón de abrir/cerrar se queda en carga
4. Aparece una pantalla verde
Por favor, dime cuál de estas opciones se ajusta a lo que te ocurre, así podré darte la solución adecuada."
La valla de seguridad del parking no se me abre no reconoce la matrícula
Gracias por la información. Para poder ayudarte a salir del parking y resolver el problema con la valla, ¿puedes facilitarme tu DNI? Así gestiono tu incidencia correctamente y te indico el siguiente paso.
54093282L
"Tu incidencia ha sido registrada y estamos gestionando el problema con la valla del parking. Como estamos en horario laboral, te recomiendo que llames al siguiente número de asistencia para que puedan ayudarte de inmediato: 928 092 337.
¿Necesitas ayuda con algo más?"</v>
      </c>
      <c r="E20" s="67" t="str">
        <f>IFERROR(__xludf.DUMMYFUNCTION("AI(""Resume contenido en español"",D20)"),"Un usuario no puede sacar su coche del parking y pide ayuda urgente. Un asistente virtual de AVIS Corporate le pide más detalles sobre el problema. El usuario especifica que la valla de seguridad del parking no se abre porque no reconoce la matrícula. El "&amp;"asistente le pide su DNI para gestionar la incidencia y le recomienda llamar a un número de asistencia para ayuda inmediata.")</f>
        <v>Un usuario no puede sacar su coche del parking y pide ayuda urgente. Un asistente virtual de AVIS Corporate le pide más detalles sobre el problema. El usuario especifica que la valla de seguridad del parking no se abre porque no reconoce la matrícula. El asistente le pide su DNI para gestionar la incidencia y le recomienda llamar a un número de asistencia para ayuda inmediata.</v>
      </c>
      <c r="F20" s="53" t="str">
        <f>'Resultados Live'!G20</f>
        <v>Mejorable</v>
      </c>
      <c r="G20" s="67" t="str">
        <f>'Resultados Live'!H20</f>
        <v>Debemos añadir problemática de barrera parking</v>
      </c>
      <c r="H20" s="67" t="str">
        <f>'Resultados Live'!I20</f>
        <v/>
      </c>
      <c r="I20" s="54" t="s">
        <v>415</v>
      </c>
    </row>
    <row r="21" hidden="1">
      <c r="A21" s="53">
        <f>'Resultados Live'!A21</f>
        <v>573148615672</v>
      </c>
      <c r="B21" s="53" t="str">
        <f>'Resultados Live'!B21</f>
        <v>24-09-2025 11:51</v>
      </c>
      <c r="C21" s="53" t="str">
        <f>'Resultados Live'!C21</f>
        <v>Consulta</v>
      </c>
      <c r="D21" s="53" t="str">
        <f>'Resultados Live'!D21</f>
        <v>Buenas
¡Hola! Soy Corporín, tu asistente virtual de AVIS Corporate en Canarias. ¿En qué puedo ayudarte hoy?
Buenos días necesito alquilar un coche en Madrid
Del 1 al 5 de oct
Lo siento, solo estoy habilitado para ayudarte con consultas o incidencias relacionadas con los servicios de alquiler de vehículos de AVIS Canarias. ¿Quieres que te ayude con algún alquiler dentro de las Islas Canarias?
Si necesito por favor por la página no he podido no sé cuál ubicación colocar no me sale Madrid
Para realizar la reserva, debes usar la app de AVIS Corporate Canarias, ya que la web es solo informativa. En la app podrás seleccionar las ubicaciones disponibles en Canarias; Madrid no está disponible porque nuestro servicio es solo para las Islas Canarias. ¿Quieres que te ayude a buscar una ubicación dentro de Canarias para tu alquiler? ¿Necesitas que te ayude con algo más?
Pero yo ya la semana pasada alquilé en Madrid en el aeropuerto y me dijeron que descargara la aplicación
Por favor, indícame con más detalle en qué puedo ayudarte para derivarte al área correcta.
Necesito llegar al aeropuerto Adolfo Suárez de Madrid barajas y alquilar un coche
Lo siento, solo estoy habilitado para ayudarte con consultas o incidencias relacionadas con los servicios de alquiler de vehículos de AVIS Canarias. ¿Hay algo en lo que pueda asistirte respecto a alquileres dentro de las Islas Canarias?
Y entone no me puede ayudar
Tu solicitud ha sido enviada. Un agente de soporte te atenderá lo antes posible. Gracias por tu paciencia.</v>
      </c>
      <c r="F21" s="53" t="str">
        <f>'Resultados Live'!G21</f>
        <v>Bien</v>
      </c>
      <c r="G21" s="53" t="str">
        <f>'Resultados Live'!H21</f>
        <v/>
      </c>
      <c r="H21" s="53" t="str">
        <f>'Resultados Live'!I21</f>
        <v/>
      </c>
    </row>
    <row r="22">
      <c r="A22" s="53">
        <f>'Resultados Live'!A22</f>
        <v>34652739299</v>
      </c>
      <c r="B22" s="53" t="str">
        <f>'Resultados Live'!B22</f>
        <v>24-09-2025 13:07</v>
      </c>
      <c r="C22" s="53" t="str">
        <f>'Resultados Live'!C22</f>
        <v>Incidencia</v>
      </c>
      <c r="D22" s="67" t="str">
        <f>'Resultados Live'!D22</f>
        <v>Hola, buenos días
¡Hola! Soy Corporín, tu asistente virtual de AVIS Corporate en Canarias. ¿En qué puedo ayudarte hoy?
Llevo desde ayer intentando hacer una reserva y no me deja
"Entiendo que llevas desde ayer intentando hacer una reserva y no te deja. Para poder ayudarte y compensar el inconveniente, por favor, cancela la reserva actual (si existe) e intenta generar una nueva. Además, facilítame tu DNI para poder gestionar tu incidencia correctamente y tramitar una posible compensación.
¿Podrías indicarme tu DNI, por favor?"
42258758N
"Tu incidencia ha sido registrada y enviada a nuestro departamento de Atención al Cliente. En los próximos días se tramitará la devolución o compensación correspondiente.
¿Hay algo más en lo que pueda ayudarte?"
Si , necesito hacer la reserva para el viernes
"Para hacer la reserva para el viernes, debes usar la app de AVIS Corporate Canarias. En la app podrás seleccionar la categoría de vehículo que prefieras (económico, compacto, SUV, monovolumen, etc.), ya que no se puede elegir un modelo específico. La app te mostrará los vehículos disponibles en tiempo real para las fechas que elijas.
Recuerda que para formalizar la reserva es obligatorio presentar una tarjeta de crédito a tu nombre para bloquear la fianza. También debes tener al menos 21 años y un año mínimo de antigüedad en tu permiso de conducir.
¿Necesitas que te ayude con algo más?"
Ponga el día que ponga y la fecha que ponga
Tu solicitud ha sido enviada. Un agente de soporte te atenderá lo antes posible. Gracias por tu paciencia.
Gracias
¡Gracias a ti por contactar con AVIS Corporate Canarias! Si necesitas cualquier otra cosa en el futuro, aquí estaré para ayudarte. ¡Que tengas un gran día!
Igualmente !
¡Gracias a ti! Si necesitas cualquier otra cosa en el futuro, aquí estaré para ayudarte. ¡Que tengas un gran día!</v>
      </c>
      <c r="E22" s="67" t="str">
        <f>IFERROR(__xludf.DUMMYFUNCTION("AI(""Resume contenido en español"",D22)"),"El usuario está teniendo problemas para hacer una reserva y el asistente virtual, Corporín, le pide que cancele la reserva actual y la genere de nuevo, además de facilitarle su DNI para gestionar la incidencia y una posible compensación. Después de propor"&amp;"cionar el DNI, se le informa que su incidencia ha sido registrada y enviada al departamento de Atención al Cliente para la devolución o compensación. Cuando el usuario pregunta cómo hacer una reserva para el viernes, se le indica que debe usar la app de A"&amp;"VIS Corporate Canarias, donde podrá elegir la categoría del vehículo. Se le recuerda que para formalizar la reserva es obligatoria una tarjeta de crédito a su nombre para la fianza, y debe tener al menos 21 años y un año de antigüedad en el permiso de con"&amp;"ducir. Finalmente, su solicitud ha sido enviada a un agente de soporte.")</f>
        <v>El usuario está teniendo problemas para hacer una reserva y el asistente virtual, Corporín, le pide que cancele la reserva actual y la genere de nuevo, además de facilitarle su DNI para gestionar la incidencia y una posible compensación. Después de proporcionar el DNI, se le informa que su incidencia ha sido registrada y enviada al departamento de Atención al Cliente para la devolución o compensación. Cuando el usuario pregunta cómo hacer una reserva para el viernes, se le indica que debe usar la app de AVIS Corporate Canarias, donde podrá elegir la categoría del vehículo. Se le recuerda que para formalizar la reserva es obligatoria una tarjeta de crédito a su nombre para la fianza, y debe tener al menos 21 años y un año de antigüedad en el permiso de conducir. Finalmente, su solicitud ha sido enviada a un agente de soporte.</v>
      </c>
      <c r="F22" s="53" t="str">
        <f>'Resultados Live'!G22</f>
        <v>Mejorable</v>
      </c>
      <c r="G22" s="67" t="str">
        <f>'Resultados Live'!H22</f>
        <v>No es capaz de detectar el problema que tiene el cliente</v>
      </c>
      <c r="H22" s="67" t="str">
        <f>'Resultados Live'!I22</f>
        <v/>
      </c>
      <c r="I22" s="54" t="s">
        <v>419</v>
      </c>
    </row>
    <row r="23">
      <c r="A23" s="53">
        <f>'Resultados Live'!A23</f>
        <v>34609152656</v>
      </c>
      <c r="B23" s="53" t="str">
        <f>'Resultados Live'!B23</f>
        <v>28-09-2025 11:35</v>
      </c>
      <c r="C23" s="53" t="str">
        <f>'Resultados Live'!C23</f>
        <v>Incidencia</v>
      </c>
      <c r="D23" s="67" t="str">
        <f>'Resultados Live'!D23</f>
        <v>Una pregunta
Y el coche no cierra
"¡Hola! Soy Corporín, tu asistente virtual de AVIS Corporate en Canarias.
He visto que comentas que el coche no cierra. Para poder ayudarte mejor, ¿puedes confirmarme si el problema es que el botón de abrir/cerrar en la app se queda cargando y no responde, o se trata de otra situación diferente? Así podré darte la solución más adecuada.
¡Gracias!"
El boton queda cargando
Pero es en un parking
Que no hay cobertura
Tiene que ver algo von eso?
"¡Gracias por la información! Por lo que comentas, el botón de abrir/cerrar en la app se queda cargando y además estás en un parking sin cobertura. Esto puede estar relacionado, ya que la app necesita conexión para funcionar correctamente.
Por favor, prueba a reiniciar sesión en la app. Si después de hacer esto el problema continúa, avísame para escalar la incidencia y ayudarte a resolverlo cuanto antes.
Recuerda que actualmente estamos fuera de nuestro horario laboral (lunes a viernes, de 08:00 a 20:00 en Canarias), pero dejaré tu caso preparado para que lo gestionemos en cuanto volvamos a estar operativos.
¿Puedes probarlo y confirmarme si se soluciona?"
Vale y en el caso que no tenga cobertura
No me va a abrir el coche?
Si no tienes cobertura en el parking, la app no podrá comunicarse para abrir el coche, por lo que no podrás abrirlo con la app en esa situación. Te recomiendo asegurarte de tener conexión de datos para usar la llave digital. ¿Necesitas que te ayude con algo más?
Y en el caso de que no pueda abrir el coche me lo podeis abrir a remoto?
Si no puedes abrir el vehículo con la app, primero revisa que tu móvil tenga conexión de datos y Bluetooth/GPS activado. Si sigue sin funcionar, debes llamar al Centro de Atención 24 h al 928 092 337, donde te guiarán para reactivar la llave digital o te proporcionarán asistencia presencial. ¿Necesitas que te ayude con algo más?</v>
      </c>
      <c r="E23" s="67"/>
      <c r="F23" s="53" t="str">
        <f>'Resultados Live'!G23</f>
        <v>Mal</v>
      </c>
      <c r="G23" s="67" t="str">
        <f>'Resultados Live'!H23</f>
        <v>Sin cobertura, con bluetooth, debe funcionar</v>
      </c>
      <c r="H23" s="67" t="str">
        <f>'Resultados Live'!I23</f>
        <v/>
      </c>
      <c r="I23" s="54" t="s">
        <v>417</v>
      </c>
    </row>
    <row r="24">
      <c r="A24" s="53">
        <f>'Resultados Live'!A25</f>
        <v>34659845211</v>
      </c>
      <c r="B24" s="53" t="str">
        <f>'Resultados Live'!B25</f>
        <v>27-09-2025 19:18</v>
      </c>
      <c r="C24" s="53" t="str">
        <f>'Resultados Live'!C25</f>
        <v/>
      </c>
      <c r="D24" s="67" t="str">
        <f>'Resultados Live'!D25</f>
        <v>Buenas tardes
No abre el parking de gran canaria no reconoce la matrícula
¡Hola! Soy Corporín, tu asistente virtual de AVIS Corporate en Canarias. ¿En qué puedo ayudarte hoy?
"He revisado el historial y la configuración de incidencias. El problema que describes (""No abre el parking de Gran Canaria, no reconoce la matrícula"") no encaja exactamente con las subincidencias estándar de ""No puede abrir coche"", ya que está relacionado con el acceso al parking por reconocimiento de matrícula, no con la apertura del vehículo en sí.
Para poder ayudarte correctamente, ¿puedes confirmar si el problema es que:
- No puedes acceder al parking porque la barrera no reconoce la matrícula de tu coche de alquiler,
- O si el problema es que no puedes abrir el coche una vez dentro del parking?
Por favor, indícame cuál de estas situaciones describe mejor tu problema para poder gestionarlo de la forma más adecuada."
No abre el parking car rental
"La barrera no reconoce la
Matrícula de mi coche de alquiler"
"Gracias por la información. Para poder gestionar tu incidencia de acceso al parking de alquiler (barrera que no reconoce la matrícula), ¿podrías facilitarme tu DNI? Así podremos registrar el caso y asegurarnos de que nuestro Call Center te contacte en cuanto estemos en horario laboral.
¿Me lo puedes indicar, por favor?"
43836861B
"Gracias por facilitar tu DNI. Hemos registrado tu incidencia: la barrera del parking de alquiler en Gran Canaria no reconoce la matrícula de tu coche y no puedes acceder.
Actualmente estamos fuera de nuestro horario laboral (lunes a viernes, de 08:00 a 20:00 en Canarias). Se ha enviado tu caso a nuestro Call Center y te llamarán cuando estemos en horario laboral para ayudarte a resolverlo lo antes posible.
¿Necesitas ayuda con algo más?"
No
No me has ayudado
Puedo modificar el horario de entrega del vehículo?
Para antes
"¡Muchas gracias por tu respuesta! Hemos registrado tu incidencia correctamente y nuestro Call Center te contactará en cuanto estemos en horario laboral para ayudarte con el acceso al parking.
Que tengas buena tarde. Si necesitas cualquier otra cosa en el futuro, aquí estaré para ayudarte."
No es posible adelantar la recogida del vehículo desde la app. Para cambiar el horario de entrega a uno anterior, te recomendamos cancelar la reserva actual sin coste (siempre que sea antes de la fecha de inicio) y hacer una nueva reserva con el horario deseado. ¿Necesitas que te ayude con algo más?
Tu solicitud ha sido enviada. Un agente de soporte te atenderá lo antes posible. Gracias por tu paciencia.</v>
      </c>
      <c r="E24" s="67"/>
      <c r="F24" s="53" t="str">
        <f>'Resultados Live'!G25</f>
        <v>Mejorable</v>
      </c>
      <c r="G24" s="67" t="str">
        <f>'Resultados Live'!H25</f>
        <v>Segunda parte OK, la primera NOK</v>
      </c>
      <c r="H24" s="67" t="str">
        <f>'Resultados Live'!I25</f>
        <v/>
      </c>
      <c r="I24" s="54" t="s">
        <v>415</v>
      </c>
    </row>
    <row r="25">
      <c r="A25" s="53">
        <f>'Resultados Live'!A26</f>
        <v>34605074230</v>
      </c>
      <c r="B25" s="53" t="str">
        <f>'Resultados Live'!B26</f>
        <v>27-09-2025 18:45</v>
      </c>
      <c r="C25" s="53" t="str">
        <f>'Resultados Live'!C26</f>
        <v>Incidencia</v>
      </c>
      <c r="D25" s="67" t="str">
        <f>'Resultados Live'!D26</f>
        <v>No me deja iniciar el vije
No me deja iniciar el viaje
"¡Hola! Soy Corporín, tu asistente virtual de AVIS Corporate en Canarias.
Veo que tienes problemas para iniciar tu viaje. Para poder ayudarte mejor, ¿podrías decirme cuál de estas situaciones describe mejor tu problema?
1. No puedes abrir el coche (ni con llave física ni digital)
2. No aparece la llave digital en tu aplicación
3. El botón de abrir/cerrar se queda cargando y no responde
4. El coche muestra una pantalla verde
5. El coche no detecta la llave aunque estás dentro
Por favor, dime cuál se ajusta más a lo que te ocurre. Así podré darte la mejor solución posible."
"¡Hola! Soy Corporín, tu asistente virtual de AVIS Corporate en Canarias.
He visto que indicas que no puedes iniciar el viaje. Para poder ayudarte mejor, ¿puedes decirme cuál de estas situaciones describe mejor tu problema?
1. El vehículo no está disponible o no lo ves en la app.
2. No aparece la llave digital en la aplicación.
3. El botón de abrir/cerrar se queda cargando y no responde.
4. Ves una pantalla verde en la app o sistema del coche.
Por favor, dime cuál de estas opciones se ajusta más a lo que te ocurre, así podré darte la mejor solución. 
Recuerda que actualmente estamos fuera de nuestro horario laboral (lunes a viernes, de 08:00 a 20:00 en Canarias), pero dejaré tu incidencia registrada para que te contacten lo antes posible."
1
"¡Gracias por tu respuesta! Para poder gestionar tu incidencia correctamente y ayudarte a abrir el coche, por favor, facilítame tu DNI.
En cuanto lo reciba, registraré tu incidencia y nuestro Call Center te llamará cuando estemos en horario laboral (08:00 a 20:00h de lunes a viernes, UTC+1).
¿Puedes indicarme tu DNI, por favor?"
Y4191183E
"¡Gracias por facilitar tu DNI! He registrado tu incidencia: nuestro Call Center te llamará cuando estemos en horario laboral (de lunes a viernes, de 08:00 a 20:00 en Canarias) para ayudarte a resolver el problema con la apertura del coche.
¿Necesitas ayuda con algo más?"
No puedo cancelar una reserva porque no me deja abrir el contrato
"¡Gracias por la información! He registrado tu incidencia: no puedes cancelar la reserva porque no te permite abrir el contrato. Actualmente estamos fuera de nuestro horario laboral (lunes a viernes, de 08:00 a 20:00 en Canarias), pero nuestro equipo de Atención al Cliente te contactará en cuanto estemos disponibles para ayudarte a resolverlo.
¿Necesitas ayuda con algo más?"</v>
      </c>
      <c r="E25" s="67"/>
      <c r="F25" s="53" t="str">
        <f>'Resultados Live'!G26</f>
        <v/>
      </c>
      <c r="G25" s="67" t="str">
        <f>'Resultados Live'!H26</f>
        <v/>
      </c>
      <c r="H25" s="67" t="str">
        <f>'Resultados Live'!I26</f>
        <v/>
      </c>
    </row>
    <row r="26">
      <c r="A26" s="53">
        <f>'Resultados Live'!A27</f>
        <v>34616397458</v>
      </c>
      <c r="B26" s="53" t="str">
        <f>'Resultados Live'!B27</f>
        <v>27-09-2025 17:19</v>
      </c>
      <c r="C26" s="53" t="str">
        <f>'Resultados Live'!C27</f>
        <v>Incidencia</v>
      </c>
      <c r="D26" s="67" t="str">
        <f>'Resultados Live'!D27</f>
        <v>Hola
¡Hola! Soy Corporín, tu asistente virtual de AVIS Corporate en Canarias. ¿En qué puedo ayudarte hoy?
No está nuestro coche
"Entiendo que no encuentras el coche en el lugar acordado. Por favor, revisa en el mapa de tu aplicación la ubicación exacta del vehículo, ya que ahí debería aparecerte el punto donde está estacionado.
¿Puedes confirmarme si lo localizas en el mapa o sigues teniendo problemas?"
No está
"He revisado el historial y la incidencia corresponde a ""El coche no aparece"", ya que el cliente ha confirmado que no encuentra el vehículo ni en el lugar acordado ni en el mapa de la aplicación.
Según el procedimiento, el siguiente paso es solicitar el DNI del cliente para poder gestionar la incidencia correctamente. Además, como estamos fuera de horario laboral, una vez recibido el DNI, se enviará la incidencia al Call Center y se informará al cliente de que será contactado cuando estemos en horario laboral.
Mensaje para el cliente:
Por favor, facilítenos su DNI para poder gestionar su incidencia correctamente. Cuando lo recibamos, enviaremos la incidencia a nuestro Call Center y le llamarán cuando estemos en horario laboral (08:00 a 20:00h de lunes a viernes, UTC+1)."
78592898N
"Gracias por facilitarnos tu DNI. Hemos enviado tu incidencia a nuestro Call Center. Te llamarán cuando estemos en horario laboral (de lunes a viernes, de 08:00 a 20:00, hora Canarias) para ayudarte a resolver el problema.
¿Hay algo más en lo que pueda ayudarte?"</v>
      </c>
      <c r="E26" s="67"/>
      <c r="F26" s="53" t="str">
        <f>'Resultados Live'!G27</f>
        <v>Mal</v>
      </c>
      <c r="G26" s="67" t="str">
        <f>'Resultados Live'!H27</f>
        <v>Le está dictando su propio procedimiento</v>
      </c>
      <c r="H26" s="67" t="str">
        <f>'Resultados Live'!I27</f>
        <v/>
      </c>
      <c r="I26" s="54" t="s">
        <v>417</v>
      </c>
    </row>
    <row r="27" hidden="1">
      <c r="A27" s="53">
        <f>'Resultados Live'!A28</f>
        <v>34636171756</v>
      </c>
      <c r="B27" s="53" t="str">
        <f>'Resultados Live'!B28</f>
        <v>27-09-2025 11:00</v>
      </c>
      <c r="C27" s="53" t="str">
        <f>'Resultados Live'!C28</f>
        <v>Consulta</v>
      </c>
      <c r="D27" s="67" t="str">
        <f>'Resultados Live'!D28</f>
        <v>Hola
Necesito que validen mi documentación en la app de avis corporate para poder hacer una reserva
¡Hola! Soy Corporín, tu asistente virtual de AVIS Corporate en Canarias. ¿En qué puedo ayudarte hoy?
Necesito que validen mi documentación en la app de avis corporate para poder hacer una reserva
Para que validen tu documentación, debes subir tu DNI/pasaporte y carnet de conducir en la app de AVIS Corporate. La validación interna se completa habitualmente en menos de 24 horas y recibirás una notificación cuando tu cuenta esté activa. ¿Necesitas que te ayude con algo más?
Ya lo Subi el otro día y nadie lo validó y necesito un coche para mañana
"Entiendo tu situación: ya subiste la documentación y aún no ha sido validada, lo que te impide reservar un coche para mañana. Para poder ayudarte y priorizar tu caso en cuanto volvamos al horario laboral, ¿podrías facilitarme tu DNI? Así podré registrar la incidencia correctamente y asegurarnos de que se gestione lo antes posible.
Actualmente estamos fuera de nuestro horario laboral (lunes a viernes, de 08:00 a 20:00 en Canarias), pero dejaré tu caso registrado para que lo atiendan en cuanto volvamos a estar operativos. ¿Me indicas tu DNI, por favor?"
71735379N
"Tu caso ha quedado registrado correctamente: hemos notificado al equipo para que prioricen la validación de tu documentación en cuanto volvamos al horario laboral. Te llamarán o contactarán cuando esté gestionado.
¿Necesitas ayuda con algo más?"</v>
      </c>
      <c r="E27" s="67"/>
      <c r="F27" s="53" t="str">
        <f>'Resultados Live'!G28</f>
        <v>Bien</v>
      </c>
      <c r="G27" s="67" t="str">
        <f>'Resultados Live'!H28</f>
        <v/>
      </c>
      <c r="H27" s="67" t="str">
        <f>'Resultados Live'!I28</f>
        <v/>
      </c>
    </row>
    <row r="28">
      <c r="A28" s="53">
        <f>'Resultados Live'!A29</f>
        <v>34619070138</v>
      </c>
      <c r="B28" s="53" t="str">
        <f>'Resultados Live'!B29</f>
        <v>27-09-2025 12:00</v>
      </c>
      <c r="C28" s="53" t="str">
        <f>'Resultados Live'!C29</f>
        <v>Incidencia</v>
      </c>
      <c r="D28" s="67" t="str">
        <f>'Resultados Live'!D29</f>
        <v>Hola. No puedo abrir el coche. Me sale q no tengo viajes y tengo el coche alquilado hasta mañana. Ha sucedido al intentar abrir el coche varias veces
"He revisado tu mensaje y veo que tienes problemas para abrir el coche y la app te indica que no tienes viajes, aunque tu alquiler sigue activo. Para poder ayudarte correctamente, necesito identificar cuál de estas situaciones describe mejor tu problema:
1. El vehículo no aparece como disponible en la app (mensaje tipo “vehículo no disponible”).
2. No aparece la llave digital en la app.
3. El botón de abrir/cerrar se queda cargando y no responde.
4. La pantalla de la app se pone verde.
¿Podrías decirme cuál de estas opciones se ajusta más a lo que te ocurre? Así podré ayudarte de forma más precisa."
La matrícula es 1948 MwL
"¡Gracias por la información de la matrícula! Para poder ayudarte a resolver el problema de apertura del coche, necesito que me indiques cuál de estas situaciones describe mejor lo que te ocurre en la app:
1. El vehículo no aparece como disponible en la app (mensaje tipo “vehículo no disponible”).
2. No aparece la llave digital en la app.
3. El botón de abrir/cerrar se queda cargando y no responde.
4. La pantalla de la app se pone verde.
Por favor, dime cuál de estas opciones se ajusta más a tu caso. Así podré ayudarte de forma precisa en cuanto volvamos a estar en horario laboral (lunes a viernes, de 08:00 a 20:00 en Canarias). ¡Te responderemos lo antes posible!"
El 1
Pone viaje finalizado
"¡Gracias por la información! Para poder gestionar correctamente tu incidencia y ayudarte a abrir el coche, por favor facilítanos tu DNI. Así podremos tramitar tu caso y asegurarnos de que el Call Center te contacte en cuanto volvamos a estar en horario laboral (lunes a viernes, de 08:00 a 20:00 en Canarias).
Quedo pendiente de tu respuesta para continuar con la gestión."
44703154D
"¡Gracias por facilitar tu DNI! He registrado tu incidencia y el Call Center te llamará en cuanto volvamos a estar en horario laboral (de lunes a viernes, de 08:00 a 20:00 en Canarias) para ayudarte a resolver el problema con la apertura del coche.
¿Hay algo más en lo que pueda ayudarte?"
Pero necesitamos abril el coche hoy que es sabado
"Entiendo perfectamente la urgencia de tu situación y lamento mucho las molestias. Actualmente, nuestro equipo solo puede gestionar incidencias en horario laboral (lunes a viernes, de 08:00 a 20:00 en Canarias). He dejado registrada tu incidencia con todos los datos y el Call Center te contactará en cuanto volvamos a estar operativos para ayudarte a abrir el coche lo antes posible.
Si necesitas asistencia urgente fuera de este horario y la situación es crítica, te recomiendo revisar si tienes acceso a asistencia en carretera a través de tu contrato o póliza, ya que nuestro soporte directo no está disponible en fines de semana.
¿Hay algo más en lo que pueda orientarte o alguna otra consulta que tengas?"</v>
      </c>
      <c r="E28" s="67"/>
      <c r="F28" s="53" t="str">
        <f>'Resultados Live'!G29</f>
        <v>Mejorable</v>
      </c>
      <c r="G28" s="67" t="str">
        <f>'Resultados Live'!H29</f>
        <v>Ha dicho viaje finalizado. </v>
      </c>
      <c r="H28" s="67" t="str">
        <f>'Resultados Live'!I29</f>
        <v/>
      </c>
    </row>
    <row r="29" hidden="1">
      <c r="A29" s="53">
        <f>'Resultados Live'!A30</f>
        <v>34628758372</v>
      </c>
      <c r="B29" s="53" t="str">
        <f>'Resultados Live'!B30</f>
        <v>26-09-2025 22:21</v>
      </c>
      <c r="C29" s="53" t="str">
        <f>'Resultados Live'!C30</f>
        <v>Consulta</v>
      </c>
      <c r="D29" s="67" t="str">
        <f>'Resultados Live'!D30</f>
        <v>Hola! Se puede dejar el coche en un punto diferente al que se recoge?
No, el vehículo debe recogerse y entregarse en el mismo punto o plaza asignada. ¿Necesitas que te ayude con algo más?
No. Gracias
Gracias a ti. Que tengas un buen día.</v>
      </c>
      <c r="E29" s="67"/>
      <c r="F29" s="53" t="str">
        <f>'Resultados Live'!G30</f>
        <v>Bien</v>
      </c>
      <c r="G29" s="67" t="str">
        <f>'Resultados Live'!H30</f>
        <v/>
      </c>
      <c r="H29" s="67" t="str">
        <f>'Resultados Live'!I30</f>
        <v/>
      </c>
    </row>
    <row r="30">
      <c r="A30" s="53">
        <f>'Resultados Live'!A31</f>
        <v>34697982334</v>
      </c>
      <c r="B30" s="53" t="str">
        <f>'Resultados Live'!B31</f>
        <v>25-09-2025 22:14</v>
      </c>
      <c r="C30" s="53" t="str">
        <f>'Resultados Live'!C31</f>
        <v>Incidencia</v>
      </c>
      <c r="D30" s="67" t="str">
        <f>'Resultados Live'!D31</f>
        <v>No encuentro mi vehículo
"¡Hola! Soy Corporín, tu asistente virtual de AVIS Corporate en Canarias.
Por favor, revisa en el mapa de tu aplicación la ubicación exacta del vehículo. A veces puede estar en una plaza cercana o en una zona diferente a la esperada.
Si después de comprobarlo sigues sin encontrar el coche, avísame para poder ayudarte con los siguientes pasos."
No está donde dice la ubicación
"He revisado el historial y la configuración de incidencias. El caso corresponde a la incidencia ""El coche no aparece"", ya que el cliente indica que no encuentra el vehículo en la ubicación indicada por la app y ya se le pidió revisar el mapa sin éxito.
El siguiente paso, según el procedimiento exacto, es solicitar el DNI del cliente para poder gestionar la incidencia correctamente. Además, como estamos fuera del horario laboral (jueves, 25 de septiembre de 2025, 22:14), una vez recibido el DNI, se enviará la incidencia al Call Center y se informará al cliente que le llamarán en horario laboral.
Mensaje para el cliente:
---
Lamento que sigas sin localizar el vehículo. Para poder gestionar tu incidencia correctamente, ¿podrías facilitarme tu DNI, por favor? Una vez lo reciba, enviaré la incidencia a nuestro Call Center y te contactarán en cuanto estemos en horario laboral (08:00 a 20:00h de lunes a viernes, UTC+1).
¿Puedes indicarme tu DNI?"
78530655F
"¡Gracias por facilitar tu DNI!
He registrado tu incidencia: nuestro equipo del Call Center te contactará en cuanto estemos en horario laboral (de lunes a viernes, de 08:00 a 20:00 en Canarias) para ayudarte a resolver la situación con tu vehículo.
Si necesitas algo más mientras tanto, dímelo y lo gestiono en cuanto sea posible."</v>
      </c>
      <c r="E30" s="67"/>
      <c r="F30" s="53" t="str">
        <f>'Resultados Live'!G31</f>
        <v>Mal</v>
      </c>
      <c r="G30" s="67" t="str">
        <f>'Resultados Live'!H31</f>
        <v>Le cuenta el procedimiento</v>
      </c>
      <c r="H30" s="67" t="str">
        <f>'Resultados Live'!I31</f>
        <v/>
      </c>
      <c r="I30" s="54" t="s">
        <v>417</v>
      </c>
    </row>
    <row r="31" hidden="1">
      <c r="A31" s="53">
        <f>'Resultados Live'!A32</f>
        <v>34637654019</v>
      </c>
      <c r="B31" s="53" t="str">
        <f>'Resultados Live'!B32</f>
        <v>25-09-2025 10:56</v>
      </c>
      <c r="C31" s="53" t="str">
        <f>'Resultados Live'!C32</f>
        <v>Incidencia</v>
      </c>
      <c r="D31" s="67" t="str">
        <f>'Resultados Live'!D32</f>
        <v>Buenos días, acabo de recibir una reserva de coche para esta mañana que no realicé y me cobraron 30 €. ¿Podrían explicarme qué está pasando?
"¡Hola! Soy Corporín, tu asistente virtual de AVIS Corporate en Canarias. ¿En qué puedo ayudarte hoy?
Sobre tu consulta: parece que has recibido una reserva y un cargo que no reconoces. Para poder ayudarte y revisar lo ocurrido, por favor, cancela la reserva actual y, si necesitas un vehículo, genera una nueva reserva para asignarte otro coche. Además, para poder tramitar la devolución y revisar tu caso, ¿podrías facilitarme tu DNI?
Así podremos gestionar tu incidencia correctamente y darte una solución lo antes posible."
U18R04813J
"¡Gracias por facilitarnos tu DNI! Hemos registrado tu caso y lo hemos enviado a nuestro departamento de Atención al Cliente. En los próximos días se tramitará la devolución correspondiente al cargo no reconocido.
Si necesitas ayuda con otra gestión o tienes alguna otra consulta, estoy aquí para ayudarte."
Ok gracias
"¡Gestión completada! Hemos registrado tu caso y enviado la información a nuestro departamento de Atención al Cliente. En los próximos días se tramitará la devolución correspondiente.
¿Hay algo más en lo que pueda ayudarte hoy?"
No gracias</v>
      </c>
      <c r="E31" s="67"/>
      <c r="F31" s="53" t="str">
        <f>'Resultados Live'!G32</f>
        <v>Bien</v>
      </c>
      <c r="G31" s="67" t="str">
        <f>'Resultados Live'!H32</f>
        <v/>
      </c>
      <c r="H31" s="67" t="str">
        <f>'Resultados Live'!I32</f>
        <v/>
      </c>
    </row>
    <row r="32">
      <c r="A32" s="53" t="str">
        <f>'Resultados Live'!A33</f>
        <v/>
      </c>
      <c r="B32" s="53" t="str">
        <f>'Resultados Live'!B33</f>
        <v/>
      </c>
      <c r="C32" s="53" t="str">
        <f>'Resultados Live'!C33</f>
        <v/>
      </c>
      <c r="D32" s="67" t="str">
        <f>'Resultados Live'!D33</f>
        <v/>
      </c>
      <c r="E32" s="67"/>
      <c r="F32" s="53" t="str">
        <f>'Resultados Live'!G33</f>
        <v/>
      </c>
      <c r="G32" s="67" t="str">
        <f>'Resultados Live'!H33</f>
        <v/>
      </c>
      <c r="H32" s="67" t="str">
        <f>'Resultados Live'!I33</f>
        <v/>
      </c>
    </row>
    <row r="33">
      <c r="A33" s="53" t="str">
        <f>'Resultados Live'!A34</f>
        <v/>
      </c>
      <c r="B33" s="53" t="str">
        <f>'Resultados Live'!B34</f>
        <v/>
      </c>
      <c r="C33" s="53" t="str">
        <f>'Resultados Live'!C34</f>
        <v/>
      </c>
      <c r="D33" s="67" t="str">
        <f>'Resultados Live'!D34</f>
        <v/>
      </c>
      <c r="E33" s="67"/>
      <c r="F33" s="53" t="str">
        <f>'Resultados Live'!G34</f>
        <v/>
      </c>
      <c r="G33" s="67" t="str">
        <f>'Resultados Live'!H34</f>
        <v/>
      </c>
      <c r="H33" s="67" t="str">
        <f>'Resultados Live'!I34</f>
        <v/>
      </c>
    </row>
    <row r="34">
      <c r="A34" s="53" t="str">
        <f>'Resultados Live'!A35</f>
        <v/>
      </c>
      <c r="B34" s="53" t="str">
        <f>'Resultados Live'!B35</f>
        <v/>
      </c>
      <c r="C34" s="53" t="str">
        <f>'Resultados Live'!C35</f>
        <v/>
      </c>
      <c r="D34" s="67" t="str">
        <f>'Resultados Live'!D35</f>
        <v/>
      </c>
      <c r="E34" s="67"/>
      <c r="F34" s="53" t="str">
        <f>'Resultados Live'!G35</f>
        <v/>
      </c>
      <c r="G34" s="67" t="str">
        <f>'Resultados Live'!H35</f>
        <v/>
      </c>
      <c r="H34" s="67" t="str">
        <f>'Resultados Live'!I35</f>
        <v/>
      </c>
    </row>
    <row r="35">
      <c r="A35" s="53" t="str">
        <f>'Resultados Live'!A36</f>
        <v/>
      </c>
      <c r="B35" s="53" t="str">
        <f>'Resultados Live'!B36</f>
        <v/>
      </c>
      <c r="C35" s="53" t="str">
        <f>'Resultados Live'!C36</f>
        <v/>
      </c>
      <c r="D35" s="67" t="str">
        <f>'Resultados Live'!D36</f>
        <v/>
      </c>
      <c r="E35" s="67"/>
      <c r="F35" s="53" t="str">
        <f>'Resultados Live'!G36</f>
        <v/>
      </c>
      <c r="G35" s="67" t="str">
        <f>'Resultados Live'!H36</f>
        <v/>
      </c>
      <c r="H35" s="67" t="str">
        <f>'Resultados Live'!I36</f>
        <v/>
      </c>
    </row>
    <row r="36">
      <c r="A36" s="53" t="str">
        <f>'Resultados Live'!A37</f>
        <v/>
      </c>
      <c r="B36" s="53" t="str">
        <f>'Resultados Live'!B37</f>
        <v/>
      </c>
      <c r="C36" s="53" t="str">
        <f>'Resultados Live'!C37</f>
        <v/>
      </c>
      <c r="D36" s="67" t="str">
        <f>'Resultados Live'!D37</f>
        <v/>
      </c>
      <c r="E36" s="67"/>
      <c r="F36" s="53" t="str">
        <f>'Resultados Live'!G37</f>
        <v/>
      </c>
      <c r="G36" s="67" t="str">
        <f>'Resultados Live'!H37</f>
        <v/>
      </c>
      <c r="H36" s="67" t="str">
        <f>'Resultados Live'!I37</f>
        <v/>
      </c>
    </row>
    <row r="37">
      <c r="A37" s="53" t="str">
        <f>'Resultados Live'!A38</f>
        <v/>
      </c>
      <c r="B37" s="53" t="str">
        <f>'Resultados Live'!B38</f>
        <v/>
      </c>
      <c r="C37" s="53" t="str">
        <f>'Resultados Live'!C38</f>
        <v/>
      </c>
      <c r="D37" s="67" t="str">
        <f>'Resultados Live'!D38</f>
        <v/>
      </c>
      <c r="E37" s="67"/>
      <c r="F37" s="53" t="str">
        <f>'Resultados Live'!G38</f>
        <v/>
      </c>
      <c r="G37" s="67" t="str">
        <f>'Resultados Live'!H38</f>
        <v/>
      </c>
      <c r="H37" s="67" t="str">
        <f>'Resultados Live'!I38</f>
        <v/>
      </c>
    </row>
    <row r="38">
      <c r="A38" s="53" t="str">
        <f>'Resultados Live'!A39</f>
        <v/>
      </c>
      <c r="B38" s="53" t="str">
        <f>'Resultados Live'!B39</f>
        <v/>
      </c>
      <c r="C38" s="53" t="str">
        <f>'Resultados Live'!C39</f>
        <v/>
      </c>
      <c r="D38" s="67" t="str">
        <f>'Resultados Live'!D39</f>
        <v/>
      </c>
      <c r="E38" s="67"/>
      <c r="F38" s="53" t="str">
        <f>'Resultados Live'!G39</f>
        <v/>
      </c>
      <c r="G38" s="67" t="str">
        <f>'Resultados Live'!H39</f>
        <v/>
      </c>
      <c r="H38" s="67" t="str">
        <f>'Resultados Live'!I39</f>
        <v/>
      </c>
    </row>
    <row r="39">
      <c r="A39" s="53" t="str">
        <f>'Resultados Live'!A40</f>
        <v/>
      </c>
      <c r="B39" s="53" t="str">
        <f>'Resultados Live'!B40</f>
        <v/>
      </c>
      <c r="C39" s="53" t="str">
        <f>'Resultados Live'!C40</f>
        <v/>
      </c>
      <c r="D39" s="67" t="str">
        <f>'Resultados Live'!D40</f>
        <v/>
      </c>
      <c r="E39" s="67"/>
      <c r="F39" s="53" t="str">
        <f>'Resultados Live'!G40</f>
        <v/>
      </c>
      <c r="G39" s="67" t="str">
        <f>'Resultados Live'!H40</f>
        <v/>
      </c>
      <c r="H39" s="67" t="str">
        <f>'Resultados Live'!I40</f>
        <v/>
      </c>
    </row>
    <row r="40">
      <c r="A40" s="53" t="str">
        <f>'Resultados Live'!A41</f>
        <v/>
      </c>
      <c r="B40" s="53" t="str">
        <f>'Resultados Live'!B41</f>
        <v/>
      </c>
      <c r="C40" s="53" t="str">
        <f>'Resultados Live'!C41</f>
        <v/>
      </c>
      <c r="D40" s="67" t="str">
        <f>'Resultados Live'!D41</f>
        <v/>
      </c>
      <c r="E40" s="67"/>
      <c r="F40" s="53" t="str">
        <f>'Resultados Live'!G41</f>
        <v/>
      </c>
      <c r="G40" s="67" t="str">
        <f>'Resultados Live'!H41</f>
        <v/>
      </c>
      <c r="H40" s="67" t="str">
        <f>'Resultados Live'!I41</f>
        <v/>
      </c>
    </row>
    <row r="41">
      <c r="A41" s="53" t="str">
        <f>'Resultados Live'!A42</f>
        <v/>
      </c>
      <c r="B41" s="53" t="str">
        <f>'Resultados Live'!B42</f>
        <v/>
      </c>
      <c r="C41" s="53" t="str">
        <f>'Resultados Live'!C42</f>
        <v/>
      </c>
      <c r="D41" s="67" t="str">
        <f>'Resultados Live'!D42</f>
        <v/>
      </c>
      <c r="E41" s="67"/>
      <c r="F41" s="53" t="str">
        <f>'Resultados Live'!G42</f>
        <v/>
      </c>
      <c r="G41" s="67" t="str">
        <f>'Resultados Live'!H42</f>
        <v/>
      </c>
      <c r="H41" s="67" t="str">
        <f>'Resultados Live'!I42</f>
        <v/>
      </c>
    </row>
    <row r="42">
      <c r="A42" s="53" t="str">
        <f>'Resultados Live'!A43</f>
        <v/>
      </c>
      <c r="B42" s="53" t="str">
        <f>'Resultados Live'!B43</f>
        <v/>
      </c>
      <c r="C42" s="53" t="str">
        <f>'Resultados Live'!C43</f>
        <v/>
      </c>
      <c r="D42" s="67" t="str">
        <f>'Resultados Live'!D43</f>
        <v/>
      </c>
      <c r="E42" s="67"/>
      <c r="F42" s="53" t="str">
        <f>'Resultados Live'!G43</f>
        <v/>
      </c>
      <c r="G42" s="67" t="str">
        <f>'Resultados Live'!H43</f>
        <v/>
      </c>
      <c r="H42" s="67" t="str">
        <f>'Resultados Live'!I43</f>
        <v/>
      </c>
    </row>
    <row r="43">
      <c r="A43" s="53" t="str">
        <f>'Resultados Live'!A44</f>
        <v/>
      </c>
      <c r="B43" s="53" t="str">
        <f>'Resultados Live'!B44</f>
        <v/>
      </c>
      <c r="C43" s="53" t="str">
        <f>'Resultados Live'!C44</f>
        <v/>
      </c>
      <c r="D43" s="67" t="str">
        <f>'Resultados Live'!D44</f>
        <v/>
      </c>
      <c r="E43" s="67"/>
      <c r="F43" s="53" t="str">
        <f>'Resultados Live'!G44</f>
        <v/>
      </c>
      <c r="G43" s="67" t="str">
        <f>'Resultados Live'!H44</f>
        <v/>
      </c>
      <c r="H43" s="67" t="str">
        <f>'Resultados Live'!I44</f>
        <v/>
      </c>
    </row>
    <row r="44">
      <c r="A44" s="53" t="str">
        <f>'Resultados Live'!A45</f>
        <v/>
      </c>
      <c r="B44" s="53" t="str">
        <f>'Resultados Live'!B45</f>
        <v/>
      </c>
      <c r="C44" s="53" t="str">
        <f>'Resultados Live'!C45</f>
        <v/>
      </c>
      <c r="D44" s="67" t="str">
        <f>'Resultados Live'!D45</f>
        <v/>
      </c>
      <c r="E44" s="67"/>
      <c r="F44" s="53" t="str">
        <f>'Resultados Live'!G45</f>
        <v/>
      </c>
      <c r="G44" s="67" t="str">
        <f>'Resultados Live'!H45</f>
        <v/>
      </c>
      <c r="H44" s="67" t="str">
        <f>'Resultados Live'!I45</f>
        <v/>
      </c>
    </row>
    <row r="45">
      <c r="A45" s="53" t="str">
        <f>'Resultados Live'!A46</f>
        <v/>
      </c>
      <c r="B45" s="53" t="str">
        <f>'Resultados Live'!B46</f>
        <v/>
      </c>
      <c r="C45" s="53" t="str">
        <f>'Resultados Live'!C46</f>
        <v/>
      </c>
      <c r="D45" s="67" t="str">
        <f>'Resultados Live'!D46</f>
        <v/>
      </c>
      <c r="E45" s="67"/>
      <c r="F45" s="53" t="str">
        <f>'Resultados Live'!G46</f>
        <v/>
      </c>
      <c r="G45" s="67" t="str">
        <f>'Resultados Live'!H46</f>
        <v/>
      </c>
      <c r="H45" s="67" t="str">
        <f>'Resultados Live'!I46</f>
        <v/>
      </c>
    </row>
    <row r="46">
      <c r="A46" s="53" t="str">
        <f>'Resultados Live'!A47</f>
        <v/>
      </c>
      <c r="B46" s="53" t="str">
        <f>'Resultados Live'!B47</f>
        <v/>
      </c>
      <c r="C46" s="53" t="str">
        <f>'Resultados Live'!C47</f>
        <v/>
      </c>
      <c r="D46" s="67" t="str">
        <f>'Resultados Live'!D47</f>
        <v/>
      </c>
      <c r="E46" s="67"/>
      <c r="F46" s="53" t="str">
        <f>'Resultados Live'!G47</f>
        <v/>
      </c>
      <c r="G46" s="67" t="str">
        <f>'Resultados Live'!H47</f>
        <v/>
      </c>
      <c r="H46" s="67" t="str">
        <f>'Resultados Live'!I47</f>
        <v/>
      </c>
    </row>
    <row r="47">
      <c r="A47" s="53" t="str">
        <f>'Resultados Live'!A48</f>
        <v/>
      </c>
      <c r="B47" s="53" t="str">
        <f>'Resultados Live'!B48</f>
        <v/>
      </c>
      <c r="C47" s="53" t="str">
        <f>'Resultados Live'!C48</f>
        <v/>
      </c>
      <c r="D47" s="67" t="str">
        <f>'Resultados Live'!D48</f>
        <v/>
      </c>
      <c r="E47" s="67"/>
      <c r="F47" s="53" t="str">
        <f>'Resultados Live'!G48</f>
        <v/>
      </c>
      <c r="G47" s="67" t="str">
        <f>'Resultados Live'!H48</f>
        <v/>
      </c>
      <c r="H47" s="67" t="str">
        <f>'Resultados Live'!I48</f>
        <v/>
      </c>
    </row>
    <row r="48">
      <c r="A48" s="53" t="str">
        <f>'Resultados Live'!A49</f>
        <v/>
      </c>
      <c r="B48" s="53" t="str">
        <f>'Resultados Live'!B49</f>
        <v/>
      </c>
      <c r="C48" s="53" t="str">
        <f>'Resultados Live'!C49</f>
        <v/>
      </c>
      <c r="D48" s="67" t="str">
        <f>'Resultados Live'!D49</f>
        <v/>
      </c>
      <c r="E48" s="67"/>
      <c r="F48" s="53" t="str">
        <f>'Resultados Live'!G49</f>
        <v/>
      </c>
      <c r="G48" s="67" t="str">
        <f>'Resultados Live'!H49</f>
        <v/>
      </c>
      <c r="H48" s="67" t="str">
        <f>'Resultados Live'!I49</f>
        <v/>
      </c>
    </row>
    <row r="49">
      <c r="A49" s="53" t="str">
        <f>'Resultados Live'!A50</f>
        <v/>
      </c>
      <c r="B49" s="53" t="str">
        <f>'Resultados Live'!B50</f>
        <v/>
      </c>
      <c r="C49" s="53" t="str">
        <f>'Resultados Live'!C50</f>
        <v/>
      </c>
      <c r="D49" s="67" t="str">
        <f>'Resultados Live'!D50</f>
        <v/>
      </c>
      <c r="E49" s="67"/>
      <c r="F49" s="53" t="str">
        <f>'Resultados Live'!G50</f>
        <v/>
      </c>
      <c r="G49" s="67" t="str">
        <f>'Resultados Live'!H50</f>
        <v/>
      </c>
      <c r="H49" s="67" t="str">
        <f>'Resultados Live'!I50</f>
        <v/>
      </c>
    </row>
    <row r="50">
      <c r="A50" s="53" t="str">
        <f>'Resultados Live'!A51</f>
        <v/>
      </c>
      <c r="B50" s="53" t="str">
        <f>'Resultados Live'!B51</f>
        <v/>
      </c>
      <c r="C50" s="53" t="str">
        <f>'Resultados Live'!C51</f>
        <v/>
      </c>
      <c r="D50" s="67" t="str">
        <f>'Resultados Live'!D51</f>
        <v/>
      </c>
      <c r="E50" s="67"/>
      <c r="F50" s="53" t="str">
        <f>'Resultados Live'!G51</f>
        <v/>
      </c>
      <c r="G50" s="67" t="str">
        <f>'Resultados Live'!H51</f>
        <v/>
      </c>
      <c r="H50" s="67" t="str">
        <f>'Resultados Live'!I51</f>
        <v/>
      </c>
    </row>
    <row r="51">
      <c r="A51" s="53" t="str">
        <f>'Resultados Live'!A52</f>
        <v/>
      </c>
      <c r="B51" s="53" t="str">
        <f>'Resultados Live'!B52</f>
        <v/>
      </c>
      <c r="C51" s="53" t="str">
        <f>'Resultados Live'!C52</f>
        <v/>
      </c>
      <c r="D51" s="67" t="str">
        <f>'Resultados Live'!D52</f>
        <v/>
      </c>
      <c r="E51" s="67"/>
      <c r="F51" s="53" t="str">
        <f>'Resultados Live'!G52</f>
        <v/>
      </c>
      <c r="G51" s="67" t="str">
        <f>'Resultados Live'!H52</f>
        <v/>
      </c>
      <c r="H51" s="67" t="str">
        <f>'Resultados Live'!I52</f>
        <v/>
      </c>
    </row>
    <row r="52">
      <c r="A52" s="53" t="str">
        <f>'Resultados Live'!A53</f>
        <v/>
      </c>
      <c r="B52" s="53" t="str">
        <f>'Resultados Live'!B53</f>
        <v/>
      </c>
      <c r="C52" s="53" t="str">
        <f>'Resultados Live'!C53</f>
        <v/>
      </c>
      <c r="D52" s="67" t="str">
        <f>'Resultados Live'!D53</f>
        <v/>
      </c>
      <c r="E52" s="67"/>
      <c r="F52" s="53" t="str">
        <f>'Resultados Live'!G53</f>
        <v/>
      </c>
      <c r="G52" s="67" t="str">
        <f>'Resultados Live'!H53</f>
        <v/>
      </c>
      <c r="H52" s="67" t="str">
        <f>'Resultados Live'!I53</f>
        <v/>
      </c>
    </row>
    <row r="53">
      <c r="A53" s="53" t="str">
        <f>'Resultados Live'!A54</f>
        <v/>
      </c>
      <c r="B53" s="53" t="str">
        <f>'Resultados Live'!B54</f>
        <v/>
      </c>
      <c r="C53" s="53" t="str">
        <f>'Resultados Live'!C54</f>
        <v/>
      </c>
      <c r="D53" s="67" t="str">
        <f>'Resultados Live'!D54</f>
        <v/>
      </c>
      <c r="E53" s="67"/>
      <c r="F53" s="53" t="str">
        <f>'Resultados Live'!G54</f>
        <v/>
      </c>
      <c r="G53" s="67" t="str">
        <f>'Resultados Live'!H54</f>
        <v/>
      </c>
      <c r="H53" s="67" t="str">
        <f>'Resultados Live'!I54</f>
        <v/>
      </c>
    </row>
    <row r="54">
      <c r="A54" s="53" t="str">
        <f>'Resultados Live'!A55</f>
        <v/>
      </c>
      <c r="B54" s="53" t="str">
        <f>'Resultados Live'!B55</f>
        <v/>
      </c>
      <c r="C54" s="53" t="str">
        <f>'Resultados Live'!C55</f>
        <v/>
      </c>
      <c r="D54" s="67" t="str">
        <f>'Resultados Live'!D55</f>
        <v/>
      </c>
      <c r="E54" s="67"/>
      <c r="F54" s="53" t="str">
        <f>'Resultados Live'!G55</f>
        <v/>
      </c>
      <c r="G54" s="67" t="str">
        <f>'Resultados Live'!H55</f>
        <v/>
      </c>
      <c r="H54" s="67" t="str">
        <f>'Resultados Live'!I55</f>
        <v/>
      </c>
    </row>
    <row r="55">
      <c r="A55" s="53" t="str">
        <f>'Resultados Live'!A56</f>
        <v/>
      </c>
      <c r="B55" s="53" t="str">
        <f>'Resultados Live'!B56</f>
        <v/>
      </c>
      <c r="C55" s="53" t="str">
        <f>'Resultados Live'!C56</f>
        <v/>
      </c>
      <c r="D55" s="67" t="str">
        <f>'Resultados Live'!D56</f>
        <v/>
      </c>
      <c r="E55" s="67"/>
      <c r="F55" s="53" t="str">
        <f>'Resultados Live'!G56</f>
        <v/>
      </c>
      <c r="G55" s="67" t="str">
        <f>'Resultados Live'!H56</f>
        <v/>
      </c>
      <c r="H55" s="67" t="str">
        <f>'Resultados Live'!I56</f>
        <v/>
      </c>
    </row>
    <row r="56">
      <c r="A56" s="53" t="str">
        <f>'Resultados Live'!A57</f>
        <v/>
      </c>
      <c r="B56" s="53" t="str">
        <f>'Resultados Live'!B57</f>
        <v/>
      </c>
      <c r="C56" s="53" t="str">
        <f>'Resultados Live'!C57</f>
        <v/>
      </c>
      <c r="D56" s="67" t="str">
        <f>'Resultados Live'!D57</f>
        <v/>
      </c>
      <c r="E56" s="67"/>
      <c r="F56" s="53" t="str">
        <f>'Resultados Live'!G57</f>
        <v/>
      </c>
      <c r="G56" s="67" t="str">
        <f>'Resultados Live'!H57</f>
        <v/>
      </c>
      <c r="H56" s="67" t="str">
        <f>'Resultados Live'!I57</f>
        <v/>
      </c>
    </row>
    <row r="57">
      <c r="A57" s="53" t="str">
        <f>'Resultados Live'!A58</f>
        <v/>
      </c>
      <c r="B57" s="53" t="str">
        <f>'Resultados Live'!B58</f>
        <v/>
      </c>
      <c r="C57" s="53" t="str">
        <f>'Resultados Live'!C58</f>
        <v/>
      </c>
      <c r="D57" s="67" t="str">
        <f>'Resultados Live'!D58</f>
        <v/>
      </c>
      <c r="E57" s="67"/>
      <c r="F57" s="53" t="str">
        <f>'Resultados Live'!G58</f>
        <v/>
      </c>
      <c r="G57" s="67" t="str">
        <f>'Resultados Live'!H58</f>
        <v/>
      </c>
      <c r="H57" s="67" t="str">
        <f>'Resultados Live'!I58</f>
        <v/>
      </c>
    </row>
    <row r="58">
      <c r="A58" s="53" t="str">
        <f>'Resultados Live'!A59</f>
        <v/>
      </c>
      <c r="B58" s="53" t="str">
        <f>'Resultados Live'!B59</f>
        <v/>
      </c>
      <c r="C58" s="53" t="str">
        <f>'Resultados Live'!C59</f>
        <v/>
      </c>
      <c r="D58" s="67" t="str">
        <f>'Resultados Live'!D59</f>
        <v/>
      </c>
      <c r="E58" s="67"/>
      <c r="F58" s="53" t="str">
        <f>'Resultados Live'!G59</f>
        <v/>
      </c>
      <c r="G58" s="67" t="str">
        <f>'Resultados Live'!H59</f>
        <v/>
      </c>
      <c r="H58" s="67" t="str">
        <f>'Resultados Live'!I59</f>
        <v/>
      </c>
    </row>
    <row r="59">
      <c r="A59" s="53" t="str">
        <f>'Resultados Live'!A60</f>
        <v/>
      </c>
      <c r="B59" s="53" t="str">
        <f>'Resultados Live'!B60</f>
        <v/>
      </c>
      <c r="C59" s="53" t="str">
        <f>'Resultados Live'!C60</f>
        <v/>
      </c>
      <c r="D59" s="67" t="str">
        <f>'Resultados Live'!D60</f>
        <v/>
      </c>
      <c r="E59" s="67"/>
      <c r="F59" s="53" t="str">
        <f>'Resultados Live'!G60</f>
        <v/>
      </c>
      <c r="G59" s="67" t="str">
        <f>'Resultados Live'!H60</f>
        <v/>
      </c>
      <c r="H59" s="67" t="str">
        <f>'Resultados Live'!I60</f>
        <v/>
      </c>
    </row>
    <row r="60">
      <c r="A60" s="53" t="str">
        <f>'Resultados Live'!A61</f>
        <v/>
      </c>
      <c r="B60" s="53" t="str">
        <f>'Resultados Live'!B61</f>
        <v/>
      </c>
      <c r="C60" s="53" t="str">
        <f>'Resultados Live'!C61</f>
        <v/>
      </c>
      <c r="D60" s="67" t="str">
        <f>'Resultados Live'!D61</f>
        <v/>
      </c>
      <c r="E60" s="67"/>
      <c r="F60" s="53" t="str">
        <f>'Resultados Live'!G61</f>
        <v/>
      </c>
      <c r="G60" s="67" t="str">
        <f>'Resultados Live'!H61</f>
        <v/>
      </c>
      <c r="H60" s="67" t="str">
        <f>'Resultados Live'!I61</f>
        <v/>
      </c>
    </row>
    <row r="61">
      <c r="A61" s="53" t="str">
        <f>'Resultados Live'!A62</f>
        <v/>
      </c>
      <c r="B61" s="53" t="str">
        <f>'Resultados Live'!B62</f>
        <v/>
      </c>
      <c r="C61" s="53" t="str">
        <f>'Resultados Live'!C62</f>
        <v/>
      </c>
      <c r="D61" s="67" t="str">
        <f>'Resultados Live'!D62</f>
        <v/>
      </c>
      <c r="E61" s="67"/>
      <c r="F61" s="53" t="str">
        <f>'Resultados Live'!G62</f>
        <v/>
      </c>
      <c r="G61" s="67" t="str">
        <f>'Resultados Live'!H62</f>
        <v/>
      </c>
      <c r="H61" s="67" t="str">
        <f>'Resultados Live'!I62</f>
        <v/>
      </c>
    </row>
    <row r="62">
      <c r="A62" s="53" t="str">
        <f>'Resultados Live'!A63</f>
        <v/>
      </c>
      <c r="B62" s="53" t="str">
        <f>'Resultados Live'!B63</f>
        <v/>
      </c>
      <c r="C62" s="53" t="str">
        <f>'Resultados Live'!C63</f>
        <v/>
      </c>
      <c r="D62" s="67" t="str">
        <f>'Resultados Live'!D63</f>
        <v/>
      </c>
      <c r="E62" s="67"/>
      <c r="F62" s="53" t="str">
        <f>'Resultados Live'!G63</f>
        <v/>
      </c>
      <c r="G62" s="67" t="str">
        <f>'Resultados Live'!H63</f>
        <v/>
      </c>
      <c r="H62" s="67" t="str">
        <f>'Resultados Live'!I63</f>
        <v/>
      </c>
    </row>
    <row r="63">
      <c r="A63" s="53" t="str">
        <f>'Resultados Live'!A64</f>
        <v/>
      </c>
      <c r="B63" s="53" t="str">
        <f>'Resultados Live'!B64</f>
        <v/>
      </c>
      <c r="C63" s="53" t="str">
        <f>'Resultados Live'!C64</f>
        <v/>
      </c>
      <c r="D63" s="67" t="str">
        <f>'Resultados Live'!D64</f>
        <v/>
      </c>
      <c r="E63" s="67"/>
      <c r="F63" s="53" t="str">
        <f>'Resultados Live'!G64</f>
        <v/>
      </c>
      <c r="G63" s="67" t="str">
        <f>'Resultados Live'!H64</f>
        <v/>
      </c>
      <c r="H63" s="67" t="str">
        <f>'Resultados Live'!I64</f>
        <v/>
      </c>
    </row>
    <row r="64">
      <c r="A64" s="53" t="str">
        <f>'Resultados Live'!A65</f>
        <v/>
      </c>
      <c r="B64" s="53" t="str">
        <f>'Resultados Live'!B65</f>
        <v/>
      </c>
      <c r="C64" s="53" t="str">
        <f>'Resultados Live'!C65</f>
        <v/>
      </c>
      <c r="D64" s="67" t="str">
        <f>'Resultados Live'!D65</f>
        <v/>
      </c>
      <c r="E64" s="67"/>
      <c r="F64" s="53" t="str">
        <f>'Resultados Live'!G65</f>
        <v/>
      </c>
      <c r="G64" s="67" t="str">
        <f>'Resultados Live'!H65</f>
        <v/>
      </c>
      <c r="H64" s="67" t="str">
        <f>'Resultados Live'!I65</f>
        <v/>
      </c>
    </row>
    <row r="65">
      <c r="A65" s="53" t="str">
        <f>'Resultados Live'!A66</f>
        <v/>
      </c>
      <c r="B65" s="53" t="str">
        <f>'Resultados Live'!B66</f>
        <v/>
      </c>
      <c r="C65" s="53" t="str">
        <f>'Resultados Live'!C66</f>
        <v/>
      </c>
      <c r="D65" s="67" t="str">
        <f>'Resultados Live'!D66</f>
        <v/>
      </c>
      <c r="E65" s="67"/>
      <c r="F65" s="53" t="str">
        <f>'Resultados Live'!G66</f>
        <v/>
      </c>
      <c r="G65" s="67" t="str">
        <f>'Resultados Live'!H66</f>
        <v/>
      </c>
      <c r="H65" s="67" t="str">
        <f>'Resultados Live'!I66</f>
        <v/>
      </c>
    </row>
    <row r="66">
      <c r="A66" s="53" t="str">
        <f>'Resultados Live'!A67</f>
        <v/>
      </c>
      <c r="B66" s="53" t="str">
        <f>'Resultados Live'!B67</f>
        <v/>
      </c>
      <c r="C66" s="53" t="str">
        <f>'Resultados Live'!C67</f>
        <v/>
      </c>
      <c r="D66" s="67" t="str">
        <f>'Resultados Live'!D67</f>
        <v/>
      </c>
      <c r="E66" s="67"/>
      <c r="F66" s="53" t="str">
        <f>'Resultados Live'!G67</f>
        <v/>
      </c>
      <c r="G66" s="67" t="str">
        <f>'Resultados Live'!H67</f>
        <v/>
      </c>
      <c r="H66" s="67" t="str">
        <f>'Resultados Live'!I67</f>
        <v/>
      </c>
    </row>
    <row r="67">
      <c r="A67" s="53" t="str">
        <f>'Resultados Live'!A68</f>
        <v/>
      </c>
      <c r="B67" s="53" t="str">
        <f>'Resultados Live'!B68</f>
        <v/>
      </c>
      <c r="C67" s="53" t="str">
        <f>'Resultados Live'!C68</f>
        <v/>
      </c>
      <c r="D67" s="67" t="str">
        <f>'Resultados Live'!D68</f>
        <v/>
      </c>
      <c r="E67" s="67"/>
      <c r="F67" s="53" t="str">
        <f>'Resultados Live'!G68</f>
        <v/>
      </c>
      <c r="G67" s="67" t="str">
        <f>'Resultados Live'!H68</f>
        <v/>
      </c>
      <c r="H67" s="67" t="str">
        <f>'Resultados Live'!I68</f>
        <v/>
      </c>
    </row>
    <row r="68">
      <c r="A68" s="53" t="str">
        <f>'Resultados Live'!A69</f>
        <v/>
      </c>
      <c r="B68" s="53" t="str">
        <f>'Resultados Live'!B69</f>
        <v/>
      </c>
      <c r="C68" s="53" t="str">
        <f>'Resultados Live'!C69</f>
        <v/>
      </c>
      <c r="D68" s="67" t="str">
        <f>'Resultados Live'!D69</f>
        <v/>
      </c>
      <c r="E68" s="67"/>
      <c r="F68" s="53" t="str">
        <f>'Resultados Live'!G69</f>
        <v/>
      </c>
      <c r="G68" s="67" t="str">
        <f>'Resultados Live'!H69</f>
        <v/>
      </c>
      <c r="H68" s="67" t="str">
        <f>'Resultados Live'!I69</f>
        <v/>
      </c>
    </row>
    <row r="69">
      <c r="A69" s="53" t="str">
        <f>'Resultados Live'!A70</f>
        <v/>
      </c>
      <c r="B69" s="53" t="str">
        <f>'Resultados Live'!B70</f>
        <v/>
      </c>
      <c r="C69" s="53" t="str">
        <f>'Resultados Live'!C70</f>
        <v/>
      </c>
      <c r="D69" s="67" t="str">
        <f>'Resultados Live'!D70</f>
        <v/>
      </c>
      <c r="E69" s="67"/>
      <c r="F69" s="53" t="str">
        <f>'Resultados Live'!G70</f>
        <v/>
      </c>
      <c r="G69" s="67" t="str">
        <f>'Resultados Live'!H70</f>
        <v/>
      </c>
      <c r="H69" s="67" t="str">
        <f>'Resultados Live'!I70</f>
        <v/>
      </c>
    </row>
    <row r="70">
      <c r="A70" s="53" t="str">
        <f>'Resultados Live'!A71</f>
        <v/>
      </c>
      <c r="B70" s="53" t="str">
        <f>'Resultados Live'!B71</f>
        <v/>
      </c>
      <c r="C70" s="53" t="str">
        <f>'Resultados Live'!C71</f>
        <v/>
      </c>
      <c r="D70" s="67" t="str">
        <f>'Resultados Live'!D71</f>
        <v/>
      </c>
      <c r="E70" s="67"/>
      <c r="F70" s="53" t="str">
        <f>'Resultados Live'!G71</f>
        <v/>
      </c>
      <c r="G70" s="67" t="str">
        <f>'Resultados Live'!H71</f>
        <v/>
      </c>
      <c r="H70" s="67" t="str">
        <f>'Resultados Live'!I71</f>
        <v/>
      </c>
    </row>
    <row r="71">
      <c r="A71" s="53" t="str">
        <f>'Resultados Live'!A72</f>
        <v/>
      </c>
      <c r="B71" s="53" t="str">
        <f>'Resultados Live'!B72</f>
        <v/>
      </c>
      <c r="C71" s="53" t="str">
        <f>'Resultados Live'!C72</f>
        <v/>
      </c>
      <c r="D71" s="67" t="str">
        <f>'Resultados Live'!D72</f>
        <v/>
      </c>
      <c r="E71" s="67"/>
      <c r="F71" s="53" t="str">
        <f>'Resultados Live'!G72</f>
        <v/>
      </c>
      <c r="G71" s="67" t="str">
        <f>'Resultados Live'!H72</f>
        <v/>
      </c>
      <c r="H71" s="67" t="str">
        <f>'Resultados Live'!I72</f>
        <v/>
      </c>
    </row>
    <row r="72">
      <c r="A72" s="53" t="str">
        <f>'Resultados Live'!A73</f>
        <v/>
      </c>
      <c r="B72" s="53" t="str">
        <f>'Resultados Live'!B73</f>
        <v/>
      </c>
      <c r="C72" s="53" t="str">
        <f>'Resultados Live'!C73</f>
        <v/>
      </c>
      <c r="D72" s="67" t="str">
        <f>'Resultados Live'!D73</f>
        <v/>
      </c>
      <c r="E72" s="67"/>
      <c r="F72" s="53" t="str">
        <f>'Resultados Live'!G73</f>
        <v/>
      </c>
      <c r="G72" s="67" t="str">
        <f>'Resultados Live'!H73</f>
        <v/>
      </c>
      <c r="H72" s="67" t="str">
        <f>'Resultados Live'!I73</f>
        <v/>
      </c>
    </row>
    <row r="73">
      <c r="A73" s="53" t="str">
        <f>'Resultados Live'!A74</f>
        <v/>
      </c>
      <c r="B73" s="53" t="str">
        <f>'Resultados Live'!B74</f>
        <v/>
      </c>
      <c r="C73" s="53" t="str">
        <f>'Resultados Live'!C74</f>
        <v/>
      </c>
      <c r="D73" s="67" t="str">
        <f>'Resultados Live'!D74</f>
        <v/>
      </c>
      <c r="E73" s="67"/>
      <c r="F73" s="53" t="str">
        <f>'Resultados Live'!G74</f>
        <v/>
      </c>
      <c r="G73" s="67" t="str">
        <f>'Resultados Live'!H74</f>
        <v/>
      </c>
      <c r="H73" s="67" t="str">
        <f>'Resultados Live'!I74</f>
        <v/>
      </c>
    </row>
    <row r="74">
      <c r="A74" s="53" t="str">
        <f>'Resultados Live'!A75</f>
        <v/>
      </c>
      <c r="B74" s="53" t="str">
        <f>'Resultados Live'!B75</f>
        <v/>
      </c>
      <c r="C74" s="53" t="str">
        <f>'Resultados Live'!C75</f>
        <v/>
      </c>
      <c r="D74" s="67" t="str">
        <f>'Resultados Live'!D75</f>
        <v/>
      </c>
      <c r="E74" s="67"/>
      <c r="F74" s="53" t="str">
        <f>'Resultados Live'!G75</f>
        <v/>
      </c>
      <c r="G74" s="67" t="str">
        <f>'Resultados Live'!H75</f>
        <v/>
      </c>
      <c r="H74" s="67" t="str">
        <f>'Resultados Live'!I75</f>
        <v/>
      </c>
    </row>
    <row r="75">
      <c r="A75" s="53" t="str">
        <f>'Resultados Live'!A76</f>
        <v/>
      </c>
      <c r="B75" s="53" t="str">
        <f>'Resultados Live'!B76</f>
        <v/>
      </c>
      <c r="C75" s="53" t="str">
        <f>'Resultados Live'!C76</f>
        <v/>
      </c>
      <c r="D75" s="67" t="str">
        <f>'Resultados Live'!D76</f>
        <v/>
      </c>
      <c r="E75" s="67"/>
      <c r="F75" s="53" t="str">
        <f>'Resultados Live'!G76</f>
        <v/>
      </c>
      <c r="G75" s="67" t="str">
        <f>'Resultados Live'!H76</f>
        <v/>
      </c>
      <c r="H75" s="67" t="str">
        <f>'Resultados Live'!I76</f>
        <v/>
      </c>
    </row>
    <row r="76">
      <c r="A76" s="53" t="str">
        <f>'Resultados Live'!A77</f>
        <v/>
      </c>
      <c r="B76" s="53" t="str">
        <f>'Resultados Live'!B77</f>
        <v/>
      </c>
      <c r="C76" s="53" t="str">
        <f>'Resultados Live'!C77</f>
        <v/>
      </c>
      <c r="D76" s="67" t="str">
        <f>'Resultados Live'!D77</f>
        <v/>
      </c>
      <c r="E76" s="67"/>
      <c r="F76" s="53" t="str">
        <f>'Resultados Live'!G77</f>
        <v/>
      </c>
      <c r="G76" s="67" t="str">
        <f>'Resultados Live'!H77</f>
        <v/>
      </c>
      <c r="H76" s="67" t="str">
        <f>'Resultados Live'!I77</f>
        <v/>
      </c>
    </row>
    <row r="77">
      <c r="A77" s="53" t="str">
        <f>'Resultados Live'!A78</f>
        <v/>
      </c>
      <c r="B77" s="53" t="str">
        <f>'Resultados Live'!B78</f>
        <v/>
      </c>
      <c r="C77" s="53" t="str">
        <f>'Resultados Live'!C78</f>
        <v/>
      </c>
      <c r="D77" s="67" t="str">
        <f>'Resultados Live'!D78</f>
        <v/>
      </c>
      <c r="E77" s="67"/>
      <c r="F77" s="53" t="str">
        <f>'Resultados Live'!G78</f>
        <v/>
      </c>
      <c r="G77" s="67" t="str">
        <f>'Resultados Live'!H78</f>
        <v/>
      </c>
      <c r="H77" s="67" t="str">
        <f>'Resultados Live'!I78</f>
        <v/>
      </c>
    </row>
    <row r="78">
      <c r="A78" s="53" t="str">
        <f>'Resultados Live'!A79</f>
        <v/>
      </c>
      <c r="B78" s="53" t="str">
        <f>'Resultados Live'!B79</f>
        <v/>
      </c>
      <c r="C78" s="53" t="str">
        <f>'Resultados Live'!C79</f>
        <v/>
      </c>
      <c r="D78" s="67" t="str">
        <f>'Resultados Live'!D79</f>
        <v/>
      </c>
      <c r="E78" s="67"/>
      <c r="F78" s="53" t="str">
        <f>'Resultados Live'!G79</f>
        <v/>
      </c>
      <c r="G78" s="67" t="str">
        <f>'Resultados Live'!H79</f>
        <v/>
      </c>
      <c r="H78" s="67" t="str">
        <f>'Resultados Live'!I79</f>
        <v/>
      </c>
    </row>
    <row r="79">
      <c r="D79" s="67"/>
      <c r="E79" s="67"/>
      <c r="G79" s="67"/>
      <c r="H79" s="67"/>
    </row>
    <row r="80">
      <c r="D80" s="67"/>
      <c r="E80" s="67"/>
      <c r="G80" s="67"/>
      <c r="H80" s="67"/>
    </row>
    <row r="81">
      <c r="D81" s="67"/>
      <c r="E81" s="67"/>
      <c r="G81" s="67"/>
      <c r="H81" s="67"/>
    </row>
    <row r="82">
      <c r="D82" s="67"/>
      <c r="E82" s="67"/>
      <c r="G82" s="67"/>
      <c r="H82" s="67"/>
    </row>
    <row r="83">
      <c r="D83" s="67"/>
      <c r="E83" s="67"/>
      <c r="G83" s="67"/>
      <c r="H83" s="67"/>
    </row>
    <row r="84">
      <c r="D84" s="67"/>
      <c r="E84" s="67"/>
      <c r="G84" s="67"/>
      <c r="H84" s="67"/>
    </row>
    <row r="85">
      <c r="D85" s="67"/>
      <c r="E85" s="67"/>
      <c r="G85" s="67"/>
      <c r="H85" s="67"/>
    </row>
    <row r="86">
      <c r="D86" s="67"/>
      <c r="E86" s="67"/>
      <c r="G86" s="67"/>
      <c r="H86" s="67"/>
    </row>
    <row r="87">
      <c r="D87" s="67"/>
      <c r="E87" s="67"/>
      <c r="G87" s="67"/>
      <c r="H87" s="67"/>
    </row>
    <row r="88">
      <c r="D88" s="67"/>
      <c r="E88" s="67"/>
      <c r="G88" s="67"/>
      <c r="H88" s="67"/>
    </row>
    <row r="89">
      <c r="D89" s="67"/>
      <c r="E89" s="67"/>
      <c r="G89" s="67"/>
      <c r="H89" s="67"/>
    </row>
    <row r="90">
      <c r="D90" s="67"/>
      <c r="E90" s="67"/>
      <c r="G90" s="67"/>
      <c r="H90" s="67"/>
    </row>
    <row r="91">
      <c r="D91" s="67"/>
      <c r="E91" s="67"/>
      <c r="G91" s="67"/>
      <c r="H91" s="67"/>
    </row>
    <row r="92">
      <c r="D92" s="67"/>
      <c r="E92" s="67"/>
      <c r="G92" s="67"/>
      <c r="H92" s="67"/>
    </row>
    <row r="93">
      <c r="D93" s="67"/>
      <c r="E93" s="67"/>
      <c r="G93" s="67"/>
      <c r="H93" s="67"/>
    </row>
    <row r="94">
      <c r="D94" s="67"/>
      <c r="E94" s="67"/>
      <c r="G94" s="67"/>
      <c r="H94" s="67"/>
    </row>
    <row r="95">
      <c r="D95" s="67"/>
      <c r="E95" s="67"/>
      <c r="G95" s="67"/>
      <c r="H95" s="67"/>
    </row>
    <row r="96">
      <c r="D96" s="67"/>
      <c r="E96" s="67"/>
      <c r="G96" s="67"/>
      <c r="H96" s="67"/>
    </row>
    <row r="97">
      <c r="D97" s="67"/>
      <c r="E97" s="67"/>
      <c r="G97" s="67"/>
      <c r="H97" s="67"/>
    </row>
    <row r="98">
      <c r="D98" s="67"/>
      <c r="E98" s="67"/>
      <c r="G98" s="67"/>
      <c r="H98" s="67"/>
    </row>
    <row r="99">
      <c r="D99" s="67"/>
      <c r="E99" s="67"/>
      <c r="G99" s="67"/>
      <c r="H99" s="67"/>
    </row>
    <row r="100">
      <c r="D100" s="67"/>
      <c r="E100" s="67"/>
      <c r="G100" s="67"/>
      <c r="H100" s="67"/>
    </row>
    <row r="101">
      <c r="D101" s="67"/>
      <c r="E101" s="67"/>
      <c r="G101" s="67"/>
      <c r="H101" s="67"/>
    </row>
    <row r="102">
      <c r="D102" s="67"/>
      <c r="E102" s="67"/>
      <c r="G102" s="67"/>
      <c r="H102" s="67"/>
    </row>
    <row r="103">
      <c r="D103" s="67"/>
      <c r="E103" s="67"/>
      <c r="G103" s="67"/>
      <c r="H103" s="67"/>
    </row>
    <row r="104">
      <c r="D104" s="67"/>
      <c r="E104" s="67"/>
      <c r="G104" s="67"/>
      <c r="H104" s="67"/>
    </row>
    <row r="105">
      <c r="D105" s="67"/>
      <c r="E105" s="67"/>
      <c r="G105" s="67"/>
      <c r="H105" s="67"/>
    </row>
    <row r="106">
      <c r="D106" s="67"/>
      <c r="E106" s="67"/>
      <c r="G106" s="67"/>
      <c r="H106" s="67"/>
    </row>
    <row r="107">
      <c r="D107" s="67"/>
      <c r="E107" s="67"/>
      <c r="G107" s="67"/>
      <c r="H107" s="67"/>
    </row>
    <row r="108">
      <c r="D108" s="67"/>
      <c r="E108" s="67"/>
      <c r="G108" s="67"/>
      <c r="H108" s="67"/>
    </row>
    <row r="109">
      <c r="D109" s="67"/>
      <c r="E109" s="67"/>
      <c r="G109" s="67"/>
      <c r="H109" s="67"/>
    </row>
    <row r="110">
      <c r="D110" s="67"/>
      <c r="E110" s="67"/>
      <c r="G110" s="67"/>
      <c r="H110" s="67"/>
    </row>
    <row r="111">
      <c r="D111" s="67"/>
      <c r="E111" s="67"/>
      <c r="G111" s="67"/>
      <c r="H111" s="67"/>
    </row>
    <row r="112">
      <c r="D112" s="67"/>
      <c r="E112" s="67"/>
      <c r="G112" s="67"/>
      <c r="H112" s="67"/>
    </row>
    <row r="113">
      <c r="D113" s="67"/>
      <c r="E113" s="67"/>
      <c r="G113" s="67"/>
      <c r="H113" s="67"/>
    </row>
    <row r="114">
      <c r="D114" s="67"/>
      <c r="E114" s="67"/>
      <c r="G114" s="67"/>
      <c r="H114" s="67"/>
    </row>
    <row r="115">
      <c r="D115" s="67"/>
      <c r="E115" s="67"/>
      <c r="G115" s="67"/>
      <c r="H115" s="67"/>
    </row>
    <row r="116">
      <c r="D116" s="67"/>
      <c r="E116" s="67"/>
      <c r="G116" s="67"/>
      <c r="H116" s="67"/>
    </row>
    <row r="117">
      <c r="D117" s="67"/>
      <c r="E117" s="67"/>
      <c r="G117" s="67"/>
      <c r="H117" s="67"/>
    </row>
    <row r="118">
      <c r="D118" s="67"/>
      <c r="E118" s="67"/>
      <c r="G118" s="67"/>
      <c r="H118" s="67"/>
    </row>
    <row r="119">
      <c r="D119" s="67"/>
      <c r="E119" s="67"/>
      <c r="G119" s="67"/>
      <c r="H119" s="67"/>
    </row>
    <row r="120">
      <c r="D120" s="67"/>
      <c r="E120" s="67"/>
      <c r="G120" s="67"/>
      <c r="H120" s="67"/>
    </row>
    <row r="121">
      <c r="D121" s="67"/>
      <c r="E121" s="67"/>
      <c r="G121" s="67"/>
      <c r="H121" s="67"/>
    </row>
    <row r="122">
      <c r="D122" s="67"/>
      <c r="E122" s="67"/>
      <c r="G122" s="67"/>
      <c r="H122" s="67"/>
    </row>
    <row r="123">
      <c r="D123" s="67"/>
      <c r="E123" s="67"/>
      <c r="G123" s="67"/>
      <c r="H123" s="67"/>
    </row>
    <row r="124">
      <c r="D124" s="67"/>
      <c r="E124" s="67"/>
      <c r="G124" s="67"/>
      <c r="H124" s="67"/>
    </row>
    <row r="125">
      <c r="D125" s="67"/>
      <c r="E125" s="67"/>
      <c r="G125" s="67"/>
      <c r="H125" s="67"/>
    </row>
    <row r="126">
      <c r="D126" s="67"/>
      <c r="E126" s="67"/>
      <c r="G126" s="67"/>
      <c r="H126" s="67"/>
    </row>
    <row r="127">
      <c r="D127" s="67"/>
      <c r="E127" s="67"/>
      <c r="G127" s="67"/>
      <c r="H127" s="67"/>
    </row>
    <row r="128">
      <c r="D128" s="67"/>
      <c r="E128" s="67"/>
      <c r="G128" s="67"/>
      <c r="H128" s="67"/>
    </row>
    <row r="129">
      <c r="D129" s="67"/>
      <c r="E129" s="67"/>
      <c r="G129" s="67"/>
      <c r="H129" s="67"/>
    </row>
    <row r="130">
      <c r="D130" s="67"/>
      <c r="E130" s="67"/>
      <c r="G130" s="67"/>
      <c r="H130" s="67"/>
    </row>
    <row r="131">
      <c r="D131" s="67"/>
      <c r="E131" s="67"/>
      <c r="G131" s="67"/>
      <c r="H131" s="67"/>
    </row>
    <row r="132">
      <c r="D132" s="67"/>
      <c r="E132" s="67"/>
      <c r="G132" s="67"/>
      <c r="H132" s="67"/>
    </row>
    <row r="133">
      <c r="D133" s="67"/>
      <c r="E133" s="67"/>
      <c r="G133" s="67"/>
      <c r="H133" s="67"/>
    </row>
    <row r="134">
      <c r="D134" s="67"/>
      <c r="E134" s="67"/>
      <c r="G134" s="67"/>
      <c r="H134" s="67"/>
    </row>
    <row r="135">
      <c r="D135" s="67"/>
      <c r="E135" s="67"/>
      <c r="G135" s="67"/>
      <c r="H135" s="67"/>
    </row>
    <row r="136">
      <c r="D136" s="67"/>
      <c r="E136" s="67"/>
      <c r="G136" s="67"/>
      <c r="H136" s="67"/>
    </row>
    <row r="137">
      <c r="D137" s="67"/>
      <c r="E137" s="67"/>
      <c r="G137" s="67"/>
      <c r="H137" s="67"/>
    </row>
    <row r="138">
      <c r="D138" s="67"/>
      <c r="E138" s="67"/>
      <c r="G138" s="67"/>
      <c r="H138" s="67"/>
    </row>
    <row r="139">
      <c r="D139" s="67"/>
      <c r="E139" s="67"/>
      <c r="G139" s="67"/>
      <c r="H139" s="67"/>
    </row>
    <row r="140">
      <c r="D140" s="67"/>
      <c r="E140" s="67"/>
      <c r="G140" s="67"/>
      <c r="H140" s="67"/>
    </row>
    <row r="141">
      <c r="D141" s="67"/>
      <c r="E141" s="67"/>
      <c r="G141" s="67"/>
      <c r="H141" s="67"/>
    </row>
    <row r="142">
      <c r="D142" s="67"/>
      <c r="E142" s="67"/>
      <c r="G142" s="67"/>
      <c r="H142" s="67"/>
    </row>
    <row r="143">
      <c r="D143" s="67"/>
      <c r="E143" s="67"/>
      <c r="G143" s="67"/>
      <c r="H143" s="67"/>
    </row>
    <row r="144">
      <c r="D144" s="67"/>
      <c r="E144" s="67"/>
      <c r="G144" s="67"/>
      <c r="H144" s="67"/>
    </row>
    <row r="145">
      <c r="D145" s="67"/>
      <c r="E145" s="67"/>
      <c r="G145" s="67"/>
      <c r="H145" s="67"/>
    </row>
    <row r="146">
      <c r="D146" s="67"/>
      <c r="E146" s="67"/>
      <c r="G146" s="67"/>
      <c r="H146" s="67"/>
    </row>
    <row r="147">
      <c r="D147" s="67"/>
      <c r="E147" s="67"/>
      <c r="G147" s="67"/>
      <c r="H147" s="67"/>
    </row>
    <row r="148">
      <c r="D148" s="67"/>
      <c r="E148" s="67"/>
      <c r="G148" s="67"/>
      <c r="H148" s="67"/>
    </row>
    <row r="149">
      <c r="D149" s="67"/>
      <c r="E149" s="67"/>
      <c r="G149" s="67"/>
      <c r="H149" s="67"/>
    </row>
    <row r="150">
      <c r="D150" s="67"/>
      <c r="E150" s="67"/>
      <c r="G150" s="67"/>
      <c r="H150" s="67"/>
    </row>
    <row r="151">
      <c r="D151" s="67"/>
      <c r="E151" s="67"/>
      <c r="G151" s="67"/>
      <c r="H151" s="67"/>
    </row>
    <row r="152">
      <c r="D152" s="67"/>
      <c r="E152" s="67"/>
      <c r="G152" s="67"/>
      <c r="H152" s="67"/>
    </row>
    <row r="153">
      <c r="D153" s="67"/>
      <c r="E153" s="67"/>
      <c r="G153" s="67"/>
      <c r="H153" s="67"/>
    </row>
    <row r="154">
      <c r="D154" s="67"/>
      <c r="E154" s="67"/>
      <c r="G154" s="67"/>
      <c r="H154" s="67"/>
    </row>
    <row r="155">
      <c r="D155" s="67"/>
      <c r="E155" s="67"/>
      <c r="G155" s="67"/>
      <c r="H155" s="67"/>
    </row>
    <row r="156">
      <c r="D156" s="67"/>
      <c r="E156" s="67"/>
      <c r="G156" s="67"/>
      <c r="H156" s="67"/>
    </row>
    <row r="157">
      <c r="D157" s="67"/>
      <c r="E157" s="67"/>
      <c r="G157" s="67"/>
      <c r="H157" s="67"/>
    </row>
    <row r="158">
      <c r="D158" s="67"/>
      <c r="E158" s="67"/>
      <c r="G158" s="67"/>
      <c r="H158" s="67"/>
    </row>
    <row r="159">
      <c r="D159" s="67"/>
      <c r="E159" s="67"/>
      <c r="G159" s="67"/>
      <c r="H159" s="67"/>
    </row>
    <row r="160">
      <c r="D160" s="67"/>
      <c r="E160" s="67"/>
      <c r="G160" s="67"/>
      <c r="H160" s="67"/>
    </row>
    <row r="161">
      <c r="D161" s="67"/>
      <c r="E161" s="67"/>
      <c r="G161" s="67"/>
      <c r="H161" s="67"/>
    </row>
    <row r="162">
      <c r="D162" s="67"/>
      <c r="E162" s="67"/>
      <c r="G162" s="67"/>
      <c r="H162" s="67"/>
    </row>
    <row r="163">
      <c r="D163" s="67"/>
      <c r="E163" s="67"/>
      <c r="G163" s="67"/>
      <c r="H163" s="67"/>
    </row>
    <row r="164">
      <c r="D164" s="67"/>
      <c r="E164" s="67"/>
      <c r="G164" s="67"/>
      <c r="H164" s="67"/>
    </row>
    <row r="165">
      <c r="D165" s="67"/>
      <c r="E165" s="67"/>
      <c r="G165" s="67"/>
      <c r="H165" s="67"/>
    </row>
    <row r="166">
      <c r="D166" s="67"/>
      <c r="E166" s="67"/>
      <c r="G166" s="67"/>
      <c r="H166" s="67"/>
    </row>
    <row r="167">
      <c r="D167" s="67"/>
      <c r="E167" s="67"/>
      <c r="G167" s="67"/>
      <c r="H167" s="67"/>
    </row>
    <row r="168">
      <c r="D168" s="67"/>
      <c r="E168" s="67"/>
      <c r="G168" s="67"/>
      <c r="H168" s="67"/>
    </row>
    <row r="169">
      <c r="D169" s="67"/>
      <c r="E169" s="67"/>
      <c r="G169" s="67"/>
      <c r="H169" s="67"/>
    </row>
    <row r="170">
      <c r="D170" s="67"/>
      <c r="E170" s="67"/>
      <c r="G170" s="67"/>
      <c r="H170" s="67"/>
    </row>
    <row r="171">
      <c r="D171" s="67"/>
      <c r="E171" s="67"/>
      <c r="G171" s="67"/>
      <c r="H171" s="67"/>
    </row>
    <row r="172">
      <c r="D172" s="67"/>
      <c r="E172" s="67"/>
      <c r="G172" s="67"/>
      <c r="H172" s="67"/>
    </row>
    <row r="173">
      <c r="D173" s="67"/>
      <c r="E173" s="67"/>
      <c r="G173" s="67"/>
      <c r="H173" s="67"/>
    </row>
    <row r="174">
      <c r="D174" s="67"/>
      <c r="E174" s="67"/>
      <c r="G174" s="67"/>
      <c r="H174" s="67"/>
    </row>
    <row r="175">
      <c r="D175" s="67"/>
      <c r="E175" s="67"/>
      <c r="G175" s="67"/>
      <c r="H175" s="67"/>
    </row>
    <row r="176">
      <c r="D176" s="67"/>
      <c r="E176" s="67"/>
      <c r="G176" s="67"/>
      <c r="H176" s="67"/>
    </row>
    <row r="177">
      <c r="D177" s="67"/>
      <c r="E177" s="67"/>
      <c r="G177" s="67"/>
      <c r="H177" s="67"/>
    </row>
    <row r="178">
      <c r="D178" s="67"/>
      <c r="E178" s="67"/>
      <c r="G178" s="67"/>
      <c r="H178" s="67"/>
    </row>
    <row r="179">
      <c r="D179" s="67"/>
      <c r="E179" s="67"/>
      <c r="G179" s="67"/>
      <c r="H179" s="67"/>
    </row>
    <row r="180">
      <c r="D180" s="67"/>
      <c r="E180" s="67"/>
      <c r="G180" s="67"/>
      <c r="H180" s="67"/>
    </row>
    <row r="181">
      <c r="D181" s="67"/>
      <c r="E181" s="67"/>
      <c r="G181" s="67"/>
      <c r="H181" s="67"/>
    </row>
    <row r="182">
      <c r="D182" s="67"/>
      <c r="E182" s="67"/>
      <c r="G182" s="67"/>
      <c r="H182" s="67"/>
    </row>
    <row r="183">
      <c r="D183" s="67"/>
      <c r="E183" s="67"/>
      <c r="G183" s="67"/>
      <c r="H183" s="67"/>
    </row>
    <row r="184">
      <c r="D184" s="67"/>
      <c r="E184" s="67"/>
      <c r="G184" s="67"/>
      <c r="H184" s="67"/>
    </row>
    <row r="185">
      <c r="D185" s="67"/>
      <c r="E185" s="67"/>
      <c r="G185" s="67"/>
      <c r="H185" s="67"/>
    </row>
    <row r="186">
      <c r="D186" s="67"/>
      <c r="E186" s="67"/>
      <c r="G186" s="67"/>
      <c r="H186" s="67"/>
    </row>
    <row r="187">
      <c r="D187" s="67"/>
      <c r="E187" s="67"/>
      <c r="G187" s="67"/>
      <c r="H187" s="67"/>
    </row>
    <row r="188">
      <c r="D188" s="67"/>
      <c r="E188" s="67"/>
      <c r="G188" s="67"/>
      <c r="H188" s="67"/>
    </row>
    <row r="189">
      <c r="D189" s="67"/>
      <c r="E189" s="67"/>
      <c r="G189" s="67"/>
      <c r="H189" s="67"/>
    </row>
    <row r="190">
      <c r="D190" s="67"/>
      <c r="E190" s="67"/>
      <c r="G190" s="67"/>
      <c r="H190" s="67"/>
    </row>
    <row r="191">
      <c r="D191" s="67"/>
      <c r="E191" s="67"/>
      <c r="G191" s="67"/>
      <c r="H191" s="67"/>
    </row>
    <row r="192">
      <c r="D192" s="67"/>
      <c r="E192" s="67"/>
      <c r="G192" s="67"/>
      <c r="H192" s="67"/>
    </row>
    <row r="193">
      <c r="D193" s="67"/>
      <c r="E193" s="67"/>
      <c r="G193" s="67"/>
      <c r="H193" s="67"/>
    </row>
    <row r="194">
      <c r="D194" s="67"/>
      <c r="E194" s="67"/>
      <c r="G194" s="67"/>
      <c r="H194" s="67"/>
    </row>
    <row r="195">
      <c r="D195" s="67"/>
      <c r="E195" s="67"/>
      <c r="G195" s="67"/>
      <c r="H195" s="67"/>
    </row>
    <row r="196">
      <c r="D196" s="67"/>
      <c r="E196" s="67"/>
      <c r="G196" s="67"/>
      <c r="H196" s="67"/>
    </row>
    <row r="197">
      <c r="D197" s="67"/>
      <c r="E197" s="67"/>
      <c r="G197" s="67"/>
      <c r="H197" s="67"/>
    </row>
    <row r="198">
      <c r="D198" s="67"/>
      <c r="E198" s="67"/>
      <c r="G198" s="67"/>
      <c r="H198" s="67"/>
    </row>
    <row r="199">
      <c r="D199" s="67"/>
      <c r="E199" s="67"/>
      <c r="G199" s="67"/>
      <c r="H199" s="67"/>
    </row>
    <row r="200">
      <c r="D200" s="67"/>
      <c r="E200" s="67"/>
      <c r="G200" s="67"/>
      <c r="H200" s="67"/>
    </row>
    <row r="201">
      <c r="D201" s="67"/>
      <c r="E201" s="67"/>
      <c r="G201" s="67"/>
      <c r="H201" s="67"/>
    </row>
    <row r="202">
      <c r="D202" s="67"/>
      <c r="E202" s="67"/>
      <c r="G202" s="67"/>
      <c r="H202" s="67"/>
    </row>
    <row r="203">
      <c r="D203" s="67"/>
      <c r="E203" s="67"/>
      <c r="G203" s="67"/>
      <c r="H203" s="67"/>
    </row>
    <row r="204">
      <c r="D204" s="67"/>
      <c r="E204" s="67"/>
      <c r="G204" s="67"/>
      <c r="H204" s="67"/>
    </row>
    <row r="205">
      <c r="D205" s="67"/>
      <c r="E205" s="67"/>
      <c r="G205" s="67"/>
      <c r="H205" s="67"/>
    </row>
    <row r="206">
      <c r="D206" s="67"/>
      <c r="E206" s="67"/>
      <c r="G206" s="67"/>
      <c r="H206" s="67"/>
    </row>
    <row r="207">
      <c r="D207" s="67"/>
      <c r="E207" s="67"/>
      <c r="G207" s="67"/>
      <c r="H207" s="67"/>
    </row>
    <row r="208">
      <c r="D208" s="67"/>
      <c r="E208" s="67"/>
      <c r="G208" s="67"/>
      <c r="H208" s="67"/>
    </row>
    <row r="209">
      <c r="D209" s="67"/>
      <c r="E209" s="67"/>
      <c r="G209" s="67"/>
      <c r="H209" s="67"/>
    </row>
    <row r="210">
      <c r="D210" s="67"/>
      <c r="E210" s="67"/>
      <c r="G210" s="67"/>
      <c r="H210" s="67"/>
    </row>
    <row r="211">
      <c r="D211" s="67"/>
      <c r="E211" s="67"/>
      <c r="G211" s="67"/>
      <c r="H211" s="67"/>
    </row>
    <row r="212">
      <c r="D212" s="67"/>
      <c r="E212" s="67"/>
      <c r="G212" s="67"/>
      <c r="H212" s="67"/>
    </row>
    <row r="213">
      <c r="D213" s="67"/>
      <c r="E213" s="67"/>
      <c r="G213" s="67"/>
      <c r="H213" s="67"/>
    </row>
    <row r="214">
      <c r="D214" s="67"/>
      <c r="E214" s="67"/>
      <c r="G214" s="67"/>
      <c r="H214" s="67"/>
    </row>
    <row r="215">
      <c r="D215" s="67"/>
      <c r="E215" s="67"/>
      <c r="G215" s="67"/>
      <c r="H215" s="67"/>
    </row>
    <row r="216">
      <c r="D216" s="67"/>
      <c r="E216" s="67"/>
      <c r="G216" s="67"/>
      <c r="H216" s="67"/>
    </row>
    <row r="217">
      <c r="D217" s="67"/>
      <c r="E217" s="67"/>
      <c r="G217" s="67"/>
      <c r="H217" s="67"/>
    </row>
    <row r="218">
      <c r="D218" s="67"/>
      <c r="E218" s="67"/>
      <c r="G218" s="67"/>
      <c r="H218" s="67"/>
    </row>
    <row r="219">
      <c r="D219" s="67"/>
      <c r="E219" s="67"/>
      <c r="G219" s="67"/>
      <c r="H219" s="67"/>
    </row>
    <row r="220">
      <c r="D220" s="67"/>
      <c r="E220" s="67"/>
      <c r="G220" s="67"/>
      <c r="H220" s="67"/>
    </row>
    <row r="221">
      <c r="D221" s="67"/>
      <c r="E221" s="67"/>
      <c r="G221" s="67"/>
      <c r="H221" s="67"/>
    </row>
    <row r="222">
      <c r="D222" s="67"/>
      <c r="E222" s="67"/>
      <c r="G222" s="67"/>
      <c r="H222" s="67"/>
    </row>
    <row r="223">
      <c r="D223" s="67"/>
      <c r="E223" s="67"/>
      <c r="G223" s="67"/>
      <c r="H223" s="67"/>
    </row>
    <row r="224">
      <c r="D224" s="67"/>
      <c r="E224" s="67"/>
      <c r="G224" s="67"/>
      <c r="H224" s="67"/>
    </row>
    <row r="225">
      <c r="D225" s="67"/>
      <c r="E225" s="67"/>
      <c r="G225" s="67"/>
      <c r="H225" s="67"/>
    </row>
    <row r="226">
      <c r="D226" s="67"/>
      <c r="E226" s="67"/>
      <c r="G226" s="67"/>
      <c r="H226" s="67"/>
    </row>
    <row r="227">
      <c r="D227" s="67"/>
      <c r="E227" s="67"/>
      <c r="G227" s="67"/>
      <c r="H227" s="67"/>
    </row>
    <row r="228">
      <c r="D228" s="67"/>
      <c r="E228" s="67"/>
      <c r="G228" s="67"/>
      <c r="H228" s="67"/>
    </row>
    <row r="229">
      <c r="D229" s="67"/>
      <c r="E229" s="67"/>
      <c r="G229" s="67"/>
      <c r="H229" s="67"/>
    </row>
    <row r="230">
      <c r="D230" s="67"/>
      <c r="E230" s="67"/>
      <c r="G230" s="67"/>
      <c r="H230" s="67"/>
    </row>
    <row r="231">
      <c r="D231" s="67"/>
      <c r="E231" s="67"/>
      <c r="G231" s="67"/>
      <c r="H231" s="67"/>
    </row>
    <row r="232">
      <c r="D232" s="67"/>
      <c r="E232" s="67"/>
      <c r="G232" s="67"/>
      <c r="H232" s="67"/>
    </row>
    <row r="233">
      <c r="D233" s="67"/>
      <c r="E233" s="67"/>
      <c r="G233" s="67"/>
      <c r="H233" s="67"/>
    </row>
    <row r="234">
      <c r="D234" s="67"/>
      <c r="E234" s="67"/>
      <c r="G234" s="67"/>
      <c r="H234" s="67"/>
    </row>
    <row r="235">
      <c r="D235" s="67"/>
      <c r="E235" s="67"/>
      <c r="G235" s="67"/>
      <c r="H235" s="67"/>
    </row>
    <row r="236">
      <c r="D236" s="67"/>
      <c r="E236" s="67"/>
      <c r="G236" s="67"/>
      <c r="H236" s="67"/>
    </row>
    <row r="237">
      <c r="D237" s="67"/>
      <c r="E237" s="67"/>
      <c r="G237" s="67"/>
      <c r="H237" s="67"/>
    </row>
    <row r="238">
      <c r="D238" s="67"/>
      <c r="E238" s="67"/>
      <c r="G238" s="67"/>
      <c r="H238" s="67"/>
    </row>
    <row r="239">
      <c r="D239" s="67"/>
      <c r="E239" s="67"/>
      <c r="G239" s="67"/>
      <c r="H239" s="67"/>
    </row>
    <row r="240">
      <c r="D240" s="67"/>
      <c r="E240" s="67"/>
      <c r="G240" s="67"/>
      <c r="H240" s="67"/>
    </row>
    <row r="241">
      <c r="D241" s="67"/>
      <c r="E241" s="67"/>
      <c r="G241" s="67"/>
      <c r="H241" s="67"/>
    </row>
    <row r="242">
      <c r="D242" s="67"/>
      <c r="E242" s="67"/>
      <c r="G242" s="67"/>
      <c r="H242" s="67"/>
    </row>
    <row r="243">
      <c r="D243" s="67"/>
      <c r="E243" s="67"/>
      <c r="G243" s="67"/>
      <c r="H243" s="67"/>
    </row>
    <row r="244">
      <c r="D244" s="67"/>
      <c r="E244" s="67"/>
      <c r="G244" s="67"/>
      <c r="H244" s="67"/>
    </row>
    <row r="245">
      <c r="D245" s="67"/>
      <c r="E245" s="67"/>
      <c r="G245" s="67"/>
      <c r="H245" s="67"/>
    </row>
    <row r="246">
      <c r="D246" s="67"/>
      <c r="E246" s="67"/>
      <c r="G246" s="67"/>
      <c r="H246" s="67"/>
    </row>
    <row r="247">
      <c r="D247" s="67"/>
      <c r="E247" s="67"/>
      <c r="G247" s="67"/>
      <c r="H247" s="67"/>
    </row>
    <row r="248">
      <c r="D248" s="67"/>
      <c r="E248" s="67"/>
      <c r="G248" s="67"/>
      <c r="H248" s="67"/>
    </row>
    <row r="249">
      <c r="D249" s="67"/>
      <c r="E249" s="67"/>
      <c r="G249" s="67"/>
      <c r="H249" s="67"/>
    </row>
    <row r="250">
      <c r="D250" s="67"/>
      <c r="E250" s="67"/>
      <c r="G250" s="67"/>
      <c r="H250" s="67"/>
    </row>
    <row r="251">
      <c r="D251" s="67"/>
      <c r="E251" s="67"/>
      <c r="G251" s="67"/>
      <c r="H251" s="67"/>
    </row>
    <row r="252">
      <c r="D252" s="67"/>
      <c r="E252" s="67"/>
      <c r="G252" s="67"/>
      <c r="H252" s="67"/>
    </row>
    <row r="253">
      <c r="D253" s="67"/>
      <c r="E253" s="67"/>
      <c r="G253" s="67"/>
      <c r="H253" s="67"/>
    </row>
    <row r="254">
      <c r="D254" s="67"/>
      <c r="E254" s="67"/>
      <c r="G254" s="67"/>
      <c r="H254" s="67"/>
    </row>
    <row r="255">
      <c r="D255" s="67"/>
      <c r="E255" s="67"/>
      <c r="G255" s="67"/>
      <c r="H255" s="67"/>
    </row>
    <row r="256">
      <c r="D256" s="67"/>
      <c r="E256" s="67"/>
      <c r="G256" s="67"/>
      <c r="H256" s="67"/>
    </row>
    <row r="257">
      <c r="D257" s="67"/>
      <c r="E257" s="67"/>
      <c r="G257" s="67"/>
      <c r="H257" s="67"/>
    </row>
    <row r="258">
      <c r="D258" s="67"/>
      <c r="E258" s="67"/>
      <c r="G258" s="67"/>
      <c r="H258" s="67"/>
    </row>
    <row r="259">
      <c r="D259" s="67"/>
      <c r="E259" s="67"/>
      <c r="G259" s="67"/>
      <c r="H259" s="67"/>
    </row>
    <row r="260">
      <c r="D260" s="67"/>
      <c r="E260" s="67"/>
      <c r="G260" s="67"/>
      <c r="H260" s="67"/>
    </row>
    <row r="261">
      <c r="D261" s="67"/>
      <c r="E261" s="67"/>
      <c r="G261" s="67"/>
      <c r="H261" s="67"/>
    </row>
    <row r="262">
      <c r="D262" s="67"/>
      <c r="E262" s="67"/>
      <c r="G262" s="67"/>
      <c r="H262" s="67"/>
    </row>
    <row r="263">
      <c r="D263" s="67"/>
      <c r="E263" s="67"/>
      <c r="G263" s="67"/>
      <c r="H263" s="67"/>
    </row>
    <row r="264">
      <c r="D264" s="67"/>
      <c r="E264" s="67"/>
      <c r="G264" s="67"/>
      <c r="H264" s="67"/>
    </row>
    <row r="265">
      <c r="D265" s="67"/>
      <c r="E265" s="67"/>
      <c r="G265" s="67"/>
      <c r="H265" s="67"/>
    </row>
    <row r="266">
      <c r="D266" s="67"/>
      <c r="E266" s="67"/>
      <c r="G266" s="67"/>
      <c r="H266" s="67"/>
    </row>
    <row r="267">
      <c r="D267" s="67"/>
      <c r="E267" s="67"/>
      <c r="G267" s="67"/>
      <c r="H267" s="67"/>
    </row>
    <row r="268">
      <c r="D268" s="67"/>
      <c r="E268" s="67"/>
      <c r="G268" s="67"/>
      <c r="H268" s="67"/>
    </row>
    <row r="269">
      <c r="D269" s="67"/>
      <c r="E269" s="67"/>
      <c r="G269" s="67"/>
      <c r="H269" s="67"/>
    </row>
    <row r="270">
      <c r="D270" s="67"/>
      <c r="E270" s="67"/>
      <c r="G270" s="67"/>
      <c r="H270" s="67"/>
    </row>
    <row r="271">
      <c r="D271" s="67"/>
      <c r="E271" s="67"/>
      <c r="G271" s="67"/>
      <c r="H271" s="67"/>
    </row>
    <row r="272">
      <c r="D272" s="67"/>
      <c r="E272" s="67"/>
      <c r="G272" s="67"/>
      <c r="H272" s="67"/>
    </row>
    <row r="273">
      <c r="D273" s="67"/>
      <c r="E273" s="67"/>
      <c r="G273" s="67"/>
      <c r="H273" s="67"/>
    </row>
    <row r="274">
      <c r="D274" s="67"/>
      <c r="E274" s="67"/>
      <c r="G274" s="67"/>
      <c r="H274" s="67"/>
    </row>
    <row r="275">
      <c r="D275" s="67"/>
      <c r="E275" s="67"/>
      <c r="G275" s="67"/>
      <c r="H275" s="67"/>
    </row>
    <row r="276">
      <c r="D276" s="67"/>
      <c r="E276" s="67"/>
      <c r="G276" s="67"/>
      <c r="H276" s="67"/>
    </row>
    <row r="277">
      <c r="D277" s="67"/>
      <c r="E277" s="67"/>
      <c r="G277" s="67"/>
      <c r="H277" s="67"/>
    </row>
    <row r="278">
      <c r="D278" s="67"/>
      <c r="E278" s="67"/>
      <c r="G278" s="67"/>
      <c r="H278" s="67"/>
    </row>
    <row r="279">
      <c r="D279" s="67"/>
      <c r="E279" s="67"/>
      <c r="G279" s="67"/>
      <c r="H279" s="67"/>
    </row>
    <row r="280">
      <c r="D280" s="67"/>
      <c r="E280" s="67"/>
      <c r="G280" s="67"/>
      <c r="H280" s="67"/>
    </row>
    <row r="281">
      <c r="D281" s="67"/>
      <c r="E281" s="67"/>
      <c r="G281" s="67"/>
      <c r="H281" s="67"/>
    </row>
    <row r="282">
      <c r="D282" s="67"/>
      <c r="E282" s="67"/>
      <c r="G282" s="67"/>
      <c r="H282" s="67"/>
    </row>
    <row r="283">
      <c r="D283" s="67"/>
      <c r="E283" s="67"/>
      <c r="G283" s="67"/>
      <c r="H283" s="67"/>
    </row>
    <row r="284">
      <c r="D284" s="67"/>
      <c r="E284" s="67"/>
      <c r="G284" s="67"/>
      <c r="H284" s="67"/>
    </row>
    <row r="285">
      <c r="D285" s="67"/>
      <c r="E285" s="67"/>
      <c r="G285" s="67"/>
      <c r="H285" s="67"/>
    </row>
    <row r="286">
      <c r="D286" s="67"/>
      <c r="E286" s="67"/>
      <c r="G286" s="67"/>
      <c r="H286" s="67"/>
    </row>
    <row r="287">
      <c r="D287" s="67"/>
      <c r="E287" s="67"/>
      <c r="G287" s="67"/>
      <c r="H287" s="67"/>
    </row>
    <row r="288">
      <c r="D288" s="67"/>
      <c r="E288" s="67"/>
      <c r="G288" s="67"/>
      <c r="H288" s="67"/>
    </row>
    <row r="289">
      <c r="D289" s="67"/>
      <c r="E289" s="67"/>
      <c r="G289" s="67"/>
      <c r="H289" s="67"/>
    </row>
    <row r="290">
      <c r="D290" s="67"/>
      <c r="E290" s="67"/>
      <c r="G290" s="67"/>
      <c r="H290" s="67"/>
    </row>
    <row r="291">
      <c r="D291" s="67"/>
      <c r="E291" s="67"/>
      <c r="G291" s="67"/>
      <c r="H291" s="67"/>
    </row>
    <row r="292">
      <c r="D292" s="67"/>
      <c r="E292" s="67"/>
      <c r="G292" s="67"/>
      <c r="H292" s="67"/>
    </row>
    <row r="293">
      <c r="D293" s="67"/>
      <c r="E293" s="67"/>
      <c r="G293" s="67"/>
      <c r="H293" s="67"/>
    </row>
    <row r="294">
      <c r="D294" s="67"/>
      <c r="E294" s="67"/>
      <c r="G294" s="67"/>
      <c r="H294" s="67"/>
    </row>
    <row r="295">
      <c r="D295" s="67"/>
      <c r="E295" s="67"/>
      <c r="G295" s="67"/>
      <c r="H295" s="67"/>
    </row>
    <row r="296">
      <c r="D296" s="67"/>
      <c r="E296" s="67"/>
      <c r="G296" s="67"/>
      <c r="H296" s="67"/>
    </row>
    <row r="297">
      <c r="D297" s="67"/>
      <c r="E297" s="67"/>
      <c r="G297" s="67"/>
      <c r="H297" s="67"/>
    </row>
    <row r="298">
      <c r="D298" s="67"/>
      <c r="E298" s="67"/>
      <c r="G298" s="67"/>
      <c r="H298" s="67"/>
    </row>
    <row r="299">
      <c r="D299" s="67"/>
      <c r="E299" s="67"/>
      <c r="G299" s="67"/>
      <c r="H299" s="67"/>
    </row>
    <row r="300">
      <c r="D300" s="67"/>
      <c r="E300" s="67"/>
      <c r="G300" s="67"/>
      <c r="H300" s="67"/>
    </row>
    <row r="301">
      <c r="D301" s="67"/>
      <c r="E301" s="67"/>
      <c r="G301" s="67"/>
      <c r="H301" s="67"/>
    </row>
    <row r="302">
      <c r="D302" s="67"/>
      <c r="E302" s="67"/>
      <c r="G302" s="67"/>
      <c r="H302" s="67"/>
    </row>
    <row r="303">
      <c r="D303" s="67"/>
      <c r="E303" s="67"/>
      <c r="G303" s="67"/>
      <c r="H303" s="67"/>
    </row>
    <row r="304">
      <c r="D304" s="67"/>
      <c r="E304" s="67"/>
      <c r="G304" s="67"/>
      <c r="H304" s="67"/>
    </row>
    <row r="305">
      <c r="D305" s="67"/>
      <c r="E305" s="67"/>
      <c r="G305" s="67"/>
      <c r="H305" s="67"/>
    </row>
    <row r="306">
      <c r="D306" s="67"/>
      <c r="E306" s="67"/>
      <c r="G306" s="67"/>
      <c r="H306" s="67"/>
    </row>
    <row r="307">
      <c r="D307" s="67"/>
      <c r="E307" s="67"/>
      <c r="G307" s="67"/>
      <c r="H307" s="67"/>
    </row>
    <row r="308">
      <c r="D308" s="67"/>
      <c r="E308" s="67"/>
      <c r="G308" s="67"/>
      <c r="H308" s="67"/>
    </row>
    <row r="309">
      <c r="D309" s="67"/>
      <c r="E309" s="67"/>
      <c r="G309" s="67"/>
      <c r="H309" s="67"/>
    </row>
    <row r="310">
      <c r="D310" s="67"/>
      <c r="E310" s="67"/>
      <c r="G310" s="67"/>
      <c r="H310" s="67"/>
    </row>
    <row r="311">
      <c r="D311" s="67"/>
      <c r="E311" s="67"/>
      <c r="G311" s="67"/>
      <c r="H311" s="67"/>
    </row>
    <row r="312">
      <c r="D312" s="67"/>
      <c r="E312" s="67"/>
      <c r="G312" s="67"/>
      <c r="H312" s="67"/>
    </row>
    <row r="313">
      <c r="D313" s="67"/>
      <c r="E313" s="67"/>
      <c r="G313" s="67"/>
      <c r="H313" s="67"/>
    </row>
    <row r="314">
      <c r="D314" s="67"/>
      <c r="E314" s="67"/>
      <c r="G314" s="67"/>
      <c r="H314" s="67"/>
    </row>
    <row r="315">
      <c r="D315" s="67"/>
      <c r="E315" s="67"/>
      <c r="G315" s="67"/>
      <c r="H315" s="67"/>
    </row>
    <row r="316">
      <c r="D316" s="67"/>
      <c r="E316" s="67"/>
      <c r="G316" s="67"/>
      <c r="H316" s="67"/>
    </row>
    <row r="317">
      <c r="D317" s="67"/>
      <c r="E317" s="67"/>
      <c r="G317" s="67"/>
      <c r="H317" s="67"/>
    </row>
    <row r="318">
      <c r="D318" s="67"/>
      <c r="E318" s="67"/>
      <c r="G318" s="67"/>
      <c r="H318" s="67"/>
    </row>
    <row r="319">
      <c r="D319" s="67"/>
      <c r="E319" s="67"/>
      <c r="G319" s="67"/>
      <c r="H319" s="67"/>
    </row>
    <row r="320">
      <c r="D320" s="67"/>
      <c r="E320" s="67"/>
      <c r="G320" s="67"/>
      <c r="H320" s="67"/>
    </row>
    <row r="321">
      <c r="D321" s="67"/>
      <c r="E321" s="67"/>
      <c r="G321" s="67"/>
      <c r="H321" s="67"/>
    </row>
    <row r="322">
      <c r="D322" s="67"/>
      <c r="E322" s="67"/>
      <c r="G322" s="67"/>
      <c r="H322" s="67"/>
    </row>
    <row r="323">
      <c r="D323" s="67"/>
      <c r="E323" s="67"/>
      <c r="G323" s="67"/>
      <c r="H323" s="67"/>
    </row>
    <row r="324">
      <c r="D324" s="67"/>
      <c r="E324" s="67"/>
      <c r="G324" s="67"/>
      <c r="H324" s="67"/>
    </row>
    <row r="325">
      <c r="D325" s="67"/>
      <c r="E325" s="67"/>
      <c r="G325" s="67"/>
      <c r="H325" s="67"/>
    </row>
    <row r="326">
      <c r="D326" s="67"/>
      <c r="E326" s="67"/>
      <c r="G326" s="67"/>
      <c r="H326" s="67"/>
    </row>
    <row r="327">
      <c r="D327" s="67"/>
      <c r="E327" s="67"/>
      <c r="G327" s="67"/>
      <c r="H327" s="67"/>
    </row>
    <row r="328">
      <c r="D328" s="67"/>
      <c r="E328" s="67"/>
      <c r="G328" s="67"/>
      <c r="H328" s="67"/>
    </row>
    <row r="329">
      <c r="D329" s="67"/>
      <c r="E329" s="67"/>
      <c r="G329" s="67"/>
      <c r="H329" s="67"/>
    </row>
    <row r="330">
      <c r="D330" s="67"/>
      <c r="E330" s="67"/>
      <c r="G330" s="67"/>
      <c r="H330" s="67"/>
    </row>
    <row r="331">
      <c r="D331" s="67"/>
      <c r="E331" s="67"/>
      <c r="G331" s="67"/>
      <c r="H331" s="67"/>
    </row>
    <row r="332">
      <c r="D332" s="67"/>
      <c r="E332" s="67"/>
      <c r="G332" s="67"/>
      <c r="H332" s="67"/>
    </row>
    <row r="333">
      <c r="D333" s="67"/>
      <c r="E333" s="67"/>
      <c r="G333" s="67"/>
      <c r="H333" s="67"/>
    </row>
    <row r="334">
      <c r="D334" s="67"/>
      <c r="E334" s="67"/>
      <c r="G334" s="67"/>
      <c r="H334" s="67"/>
    </row>
    <row r="335">
      <c r="D335" s="67"/>
      <c r="E335" s="67"/>
      <c r="G335" s="67"/>
      <c r="H335" s="67"/>
    </row>
    <row r="336">
      <c r="D336" s="67"/>
      <c r="E336" s="67"/>
      <c r="G336" s="67"/>
      <c r="H336" s="67"/>
    </row>
    <row r="337">
      <c r="D337" s="67"/>
      <c r="E337" s="67"/>
      <c r="G337" s="67"/>
      <c r="H337" s="67"/>
    </row>
    <row r="338">
      <c r="D338" s="67"/>
      <c r="E338" s="67"/>
      <c r="G338" s="67"/>
      <c r="H338" s="67"/>
    </row>
    <row r="339">
      <c r="D339" s="67"/>
      <c r="E339" s="67"/>
      <c r="G339" s="67"/>
      <c r="H339" s="67"/>
    </row>
    <row r="340">
      <c r="D340" s="67"/>
      <c r="E340" s="67"/>
      <c r="G340" s="67"/>
      <c r="H340" s="67"/>
    </row>
    <row r="341">
      <c r="D341" s="67"/>
      <c r="E341" s="67"/>
      <c r="G341" s="67"/>
      <c r="H341" s="67"/>
    </row>
    <row r="342">
      <c r="D342" s="67"/>
      <c r="E342" s="67"/>
      <c r="G342" s="67"/>
      <c r="H342" s="67"/>
    </row>
    <row r="343">
      <c r="D343" s="67"/>
      <c r="E343" s="67"/>
      <c r="G343" s="67"/>
      <c r="H343" s="67"/>
    </row>
    <row r="344">
      <c r="D344" s="67"/>
      <c r="E344" s="67"/>
      <c r="G344" s="67"/>
      <c r="H344" s="67"/>
    </row>
    <row r="345">
      <c r="D345" s="67"/>
      <c r="E345" s="67"/>
      <c r="G345" s="67"/>
      <c r="H345" s="67"/>
    </row>
    <row r="346">
      <c r="D346" s="67"/>
      <c r="E346" s="67"/>
      <c r="G346" s="67"/>
      <c r="H346" s="67"/>
    </row>
    <row r="347">
      <c r="D347" s="67"/>
      <c r="E347" s="67"/>
      <c r="G347" s="67"/>
      <c r="H347" s="67"/>
    </row>
    <row r="348">
      <c r="D348" s="67"/>
      <c r="E348" s="67"/>
      <c r="G348" s="67"/>
      <c r="H348" s="67"/>
    </row>
    <row r="349">
      <c r="D349" s="67"/>
      <c r="E349" s="67"/>
      <c r="G349" s="67"/>
      <c r="H349" s="67"/>
    </row>
    <row r="350">
      <c r="D350" s="67"/>
      <c r="E350" s="67"/>
      <c r="G350" s="67"/>
      <c r="H350" s="67"/>
    </row>
    <row r="351">
      <c r="D351" s="67"/>
      <c r="E351" s="67"/>
      <c r="G351" s="67"/>
      <c r="H351" s="67"/>
    </row>
    <row r="352">
      <c r="D352" s="67"/>
      <c r="E352" s="67"/>
      <c r="G352" s="67"/>
      <c r="H352" s="67"/>
    </row>
    <row r="353">
      <c r="D353" s="67"/>
      <c r="E353" s="67"/>
      <c r="G353" s="67"/>
      <c r="H353" s="67"/>
    </row>
    <row r="354">
      <c r="D354" s="67"/>
      <c r="E354" s="67"/>
      <c r="G354" s="67"/>
      <c r="H354" s="67"/>
    </row>
    <row r="355">
      <c r="D355" s="67"/>
      <c r="E355" s="67"/>
      <c r="G355" s="67"/>
      <c r="H355" s="67"/>
    </row>
    <row r="356">
      <c r="D356" s="67"/>
      <c r="E356" s="67"/>
      <c r="G356" s="67"/>
      <c r="H356" s="67"/>
    </row>
    <row r="357">
      <c r="D357" s="67"/>
      <c r="E357" s="67"/>
      <c r="G357" s="67"/>
      <c r="H357" s="67"/>
    </row>
    <row r="358">
      <c r="D358" s="67"/>
      <c r="E358" s="67"/>
      <c r="G358" s="67"/>
      <c r="H358" s="67"/>
    </row>
    <row r="359">
      <c r="D359" s="67"/>
      <c r="E359" s="67"/>
      <c r="G359" s="67"/>
      <c r="H359" s="67"/>
    </row>
    <row r="360">
      <c r="D360" s="67"/>
      <c r="E360" s="67"/>
      <c r="G360" s="67"/>
      <c r="H360" s="67"/>
    </row>
    <row r="361">
      <c r="D361" s="67"/>
      <c r="E361" s="67"/>
      <c r="G361" s="67"/>
      <c r="H361" s="67"/>
    </row>
    <row r="362">
      <c r="D362" s="67"/>
      <c r="E362" s="67"/>
      <c r="G362" s="67"/>
      <c r="H362" s="67"/>
    </row>
    <row r="363">
      <c r="D363" s="67"/>
      <c r="E363" s="67"/>
      <c r="G363" s="67"/>
      <c r="H363" s="67"/>
    </row>
    <row r="364">
      <c r="D364" s="67"/>
      <c r="E364" s="67"/>
      <c r="G364" s="67"/>
      <c r="H364" s="67"/>
    </row>
    <row r="365">
      <c r="D365" s="67"/>
      <c r="E365" s="67"/>
      <c r="G365" s="67"/>
      <c r="H365" s="67"/>
    </row>
    <row r="366">
      <c r="D366" s="67"/>
      <c r="E366" s="67"/>
      <c r="G366" s="67"/>
      <c r="H366" s="67"/>
    </row>
    <row r="367">
      <c r="D367" s="67"/>
      <c r="E367" s="67"/>
      <c r="G367" s="67"/>
      <c r="H367" s="67"/>
    </row>
    <row r="368">
      <c r="D368" s="67"/>
      <c r="E368" s="67"/>
      <c r="G368" s="67"/>
      <c r="H368" s="67"/>
    </row>
    <row r="369">
      <c r="D369" s="67"/>
      <c r="E369" s="67"/>
      <c r="G369" s="67"/>
      <c r="H369" s="67"/>
    </row>
    <row r="370">
      <c r="D370" s="67"/>
      <c r="E370" s="67"/>
      <c r="G370" s="67"/>
      <c r="H370" s="67"/>
    </row>
    <row r="371">
      <c r="D371" s="67"/>
      <c r="E371" s="67"/>
      <c r="G371" s="67"/>
      <c r="H371" s="67"/>
    </row>
    <row r="372">
      <c r="D372" s="67"/>
      <c r="E372" s="67"/>
      <c r="G372" s="67"/>
      <c r="H372" s="67"/>
    </row>
    <row r="373">
      <c r="D373" s="67"/>
      <c r="E373" s="67"/>
      <c r="G373" s="67"/>
      <c r="H373" s="67"/>
    </row>
    <row r="374">
      <c r="D374" s="67"/>
      <c r="E374" s="67"/>
      <c r="G374" s="67"/>
      <c r="H374" s="67"/>
    </row>
    <row r="375">
      <c r="D375" s="67"/>
      <c r="E375" s="67"/>
      <c r="G375" s="67"/>
      <c r="H375" s="67"/>
    </row>
    <row r="376">
      <c r="D376" s="67"/>
      <c r="E376" s="67"/>
      <c r="G376" s="67"/>
      <c r="H376" s="67"/>
    </row>
    <row r="377">
      <c r="D377" s="67"/>
      <c r="E377" s="67"/>
      <c r="G377" s="67"/>
      <c r="H377" s="67"/>
    </row>
    <row r="378">
      <c r="D378" s="67"/>
      <c r="E378" s="67"/>
      <c r="G378" s="67"/>
      <c r="H378" s="67"/>
    </row>
    <row r="379">
      <c r="D379" s="67"/>
      <c r="E379" s="67"/>
      <c r="G379" s="67"/>
      <c r="H379" s="67"/>
    </row>
    <row r="380">
      <c r="D380" s="67"/>
      <c r="E380" s="67"/>
      <c r="G380" s="67"/>
      <c r="H380" s="67"/>
    </row>
    <row r="381">
      <c r="D381" s="67"/>
      <c r="E381" s="67"/>
      <c r="G381" s="67"/>
      <c r="H381" s="67"/>
    </row>
    <row r="382">
      <c r="D382" s="67"/>
      <c r="E382" s="67"/>
      <c r="G382" s="67"/>
      <c r="H382" s="67"/>
    </row>
    <row r="383">
      <c r="D383" s="67"/>
      <c r="E383" s="67"/>
      <c r="G383" s="67"/>
      <c r="H383" s="67"/>
    </row>
    <row r="384">
      <c r="D384" s="67"/>
      <c r="E384" s="67"/>
      <c r="G384" s="67"/>
      <c r="H384" s="67"/>
    </row>
    <row r="385">
      <c r="D385" s="67"/>
      <c r="E385" s="67"/>
      <c r="G385" s="67"/>
      <c r="H385" s="67"/>
    </row>
    <row r="386">
      <c r="D386" s="67"/>
      <c r="E386" s="67"/>
      <c r="G386" s="67"/>
      <c r="H386" s="67"/>
    </row>
    <row r="387">
      <c r="D387" s="67"/>
      <c r="E387" s="67"/>
      <c r="G387" s="67"/>
      <c r="H387" s="67"/>
    </row>
    <row r="388">
      <c r="D388" s="67"/>
      <c r="E388" s="67"/>
      <c r="G388" s="67"/>
      <c r="H388" s="67"/>
    </row>
    <row r="389">
      <c r="D389" s="67"/>
      <c r="E389" s="67"/>
      <c r="G389" s="67"/>
      <c r="H389" s="67"/>
    </row>
    <row r="390">
      <c r="D390" s="67"/>
      <c r="E390" s="67"/>
      <c r="G390" s="67"/>
      <c r="H390" s="67"/>
    </row>
    <row r="391">
      <c r="D391" s="67"/>
      <c r="E391" s="67"/>
      <c r="G391" s="67"/>
      <c r="H391" s="67"/>
    </row>
    <row r="392">
      <c r="D392" s="67"/>
      <c r="E392" s="67"/>
      <c r="G392" s="67"/>
      <c r="H392" s="67"/>
    </row>
    <row r="393">
      <c r="D393" s="67"/>
      <c r="E393" s="67"/>
      <c r="G393" s="67"/>
      <c r="H393" s="67"/>
    </row>
    <row r="394">
      <c r="D394" s="67"/>
      <c r="E394" s="67"/>
      <c r="G394" s="67"/>
      <c r="H394" s="67"/>
    </row>
    <row r="395">
      <c r="D395" s="67"/>
      <c r="E395" s="67"/>
      <c r="G395" s="67"/>
      <c r="H395" s="67"/>
    </row>
    <row r="396">
      <c r="D396" s="67"/>
      <c r="E396" s="67"/>
      <c r="G396" s="67"/>
      <c r="H396" s="67"/>
    </row>
    <row r="397">
      <c r="D397" s="67"/>
      <c r="E397" s="67"/>
      <c r="G397" s="67"/>
      <c r="H397" s="67"/>
    </row>
    <row r="398">
      <c r="D398" s="67"/>
      <c r="E398" s="67"/>
      <c r="G398" s="67"/>
      <c r="H398" s="67"/>
    </row>
    <row r="399">
      <c r="D399" s="67"/>
      <c r="E399" s="67"/>
      <c r="G399" s="67"/>
      <c r="H399" s="67"/>
    </row>
    <row r="400">
      <c r="D400" s="67"/>
      <c r="E400" s="67"/>
      <c r="G400" s="67"/>
      <c r="H400" s="67"/>
    </row>
    <row r="401">
      <c r="D401" s="67"/>
      <c r="E401" s="67"/>
      <c r="G401" s="67"/>
      <c r="H401" s="67"/>
    </row>
    <row r="402">
      <c r="D402" s="67"/>
      <c r="E402" s="67"/>
      <c r="G402" s="67"/>
      <c r="H402" s="67"/>
    </row>
    <row r="403">
      <c r="D403" s="67"/>
      <c r="E403" s="67"/>
      <c r="G403" s="67"/>
      <c r="H403" s="67"/>
    </row>
    <row r="404">
      <c r="D404" s="67"/>
      <c r="E404" s="67"/>
      <c r="G404" s="67"/>
      <c r="H404" s="67"/>
    </row>
    <row r="405">
      <c r="D405" s="67"/>
      <c r="E405" s="67"/>
      <c r="G405" s="67"/>
      <c r="H405" s="67"/>
    </row>
    <row r="406">
      <c r="D406" s="67"/>
      <c r="E406" s="67"/>
      <c r="G406" s="67"/>
      <c r="H406" s="67"/>
    </row>
    <row r="407">
      <c r="D407" s="67"/>
      <c r="E407" s="67"/>
      <c r="G407" s="67"/>
      <c r="H407" s="67"/>
    </row>
    <row r="408">
      <c r="D408" s="67"/>
      <c r="E408" s="67"/>
      <c r="G408" s="67"/>
      <c r="H408" s="67"/>
    </row>
    <row r="409">
      <c r="D409" s="67"/>
      <c r="E409" s="67"/>
      <c r="G409" s="67"/>
      <c r="H409" s="67"/>
    </row>
    <row r="410">
      <c r="D410" s="67"/>
      <c r="E410" s="67"/>
      <c r="G410" s="67"/>
      <c r="H410" s="67"/>
    </row>
    <row r="411">
      <c r="D411" s="67"/>
      <c r="E411" s="67"/>
      <c r="G411" s="67"/>
      <c r="H411" s="67"/>
    </row>
    <row r="412">
      <c r="D412" s="67"/>
      <c r="E412" s="67"/>
      <c r="G412" s="67"/>
      <c r="H412" s="67"/>
    </row>
    <row r="413">
      <c r="D413" s="67"/>
      <c r="E413" s="67"/>
      <c r="G413" s="67"/>
      <c r="H413" s="67"/>
    </row>
    <row r="414">
      <c r="D414" s="67"/>
      <c r="E414" s="67"/>
      <c r="G414" s="67"/>
      <c r="H414" s="67"/>
    </row>
    <row r="415">
      <c r="D415" s="67"/>
      <c r="E415" s="67"/>
      <c r="G415" s="67"/>
      <c r="H415" s="67"/>
    </row>
    <row r="416">
      <c r="D416" s="67"/>
      <c r="E416" s="67"/>
      <c r="G416" s="67"/>
      <c r="H416" s="67"/>
    </row>
    <row r="417">
      <c r="D417" s="67"/>
      <c r="E417" s="67"/>
      <c r="G417" s="67"/>
      <c r="H417" s="67"/>
    </row>
    <row r="418">
      <c r="D418" s="67"/>
      <c r="E418" s="67"/>
      <c r="G418" s="67"/>
      <c r="H418" s="67"/>
    </row>
    <row r="419">
      <c r="D419" s="67"/>
      <c r="E419" s="67"/>
      <c r="G419" s="67"/>
      <c r="H419" s="67"/>
    </row>
    <row r="420">
      <c r="D420" s="67"/>
      <c r="E420" s="67"/>
      <c r="G420" s="67"/>
      <c r="H420" s="67"/>
    </row>
    <row r="421">
      <c r="D421" s="67"/>
      <c r="E421" s="67"/>
      <c r="G421" s="67"/>
      <c r="H421" s="67"/>
    </row>
    <row r="422">
      <c r="D422" s="67"/>
      <c r="E422" s="67"/>
      <c r="G422" s="67"/>
      <c r="H422" s="67"/>
    </row>
    <row r="423">
      <c r="D423" s="67"/>
      <c r="E423" s="67"/>
      <c r="G423" s="67"/>
      <c r="H423" s="67"/>
    </row>
    <row r="424">
      <c r="D424" s="67"/>
      <c r="E424" s="67"/>
      <c r="G424" s="67"/>
      <c r="H424" s="67"/>
    </row>
    <row r="425">
      <c r="D425" s="67"/>
      <c r="E425" s="67"/>
      <c r="G425" s="67"/>
      <c r="H425" s="67"/>
    </row>
    <row r="426">
      <c r="D426" s="67"/>
      <c r="E426" s="67"/>
      <c r="G426" s="67"/>
      <c r="H426" s="67"/>
    </row>
    <row r="427">
      <c r="D427" s="67"/>
      <c r="E427" s="67"/>
      <c r="G427" s="67"/>
      <c r="H427" s="67"/>
    </row>
    <row r="428">
      <c r="D428" s="67"/>
      <c r="E428" s="67"/>
      <c r="G428" s="67"/>
      <c r="H428" s="67"/>
    </row>
    <row r="429">
      <c r="D429" s="67"/>
      <c r="E429" s="67"/>
      <c r="G429" s="67"/>
      <c r="H429" s="67"/>
    </row>
    <row r="430">
      <c r="D430" s="67"/>
      <c r="E430" s="67"/>
      <c r="G430" s="67"/>
      <c r="H430" s="67"/>
    </row>
    <row r="431">
      <c r="D431" s="67"/>
      <c r="E431" s="67"/>
      <c r="G431" s="67"/>
      <c r="H431" s="67"/>
    </row>
    <row r="432">
      <c r="D432" s="67"/>
      <c r="E432" s="67"/>
      <c r="G432" s="67"/>
      <c r="H432" s="67"/>
    </row>
    <row r="433">
      <c r="D433" s="67"/>
      <c r="E433" s="67"/>
      <c r="G433" s="67"/>
      <c r="H433" s="67"/>
    </row>
    <row r="434">
      <c r="D434" s="67"/>
      <c r="E434" s="67"/>
      <c r="G434" s="67"/>
      <c r="H434" s="67"/>
    </row>
    <row r="435">
      <c r="D435" s="67"/>
      <c r="E435" s="67"/>
      <c r="G435" s="67"/>
      <c r="H435" s="67"/>
    </row>
    <row r="436">
      <c r="D436" s="67"/>
      <c r="E436" s="67"/>
      <c r="G436" s="67"/>
      <c r="H436" s="67"/>
    </row>
    <row r="437">
      <c r="D437" s="67"/>
      <c r="E437" s="67"/>
      <c r="G437" s="67"/>
      <c r="H437" s="67"/>
    </row>
    <row r="438">
      <c r="D438" s="67"/>
      <c r="E438" s="67"/>
      <c r="G438" s="67"/>
      <c r="H438" s="67"/>
    </row>
    <row r="439">
      <c r="D439" s="67"/>
      <c r="E439" s="67"/>
      <c r="G439" s="67"/>
      <c r="H439" s="67"/>
    </row>
    <row r="440">
      <c r="D440" s="67"/>
      <c r="E440" s="67"/>
      <c r="G440" s="67"/>
      <c r="H440" s="67"/>
    </row>
    <row r="441">
      <c r="D441" s="67"/>
      <c r="E441" s="67"/>
      <c r="G441" s="67"/>
      <c r="H441" s="67"/>
    </row>
    <row r="442">
      <c r="D442" s="67"/>
      <c r="E442" s="67"/>
      <c r="G442" s="67"/>
      <c r="H442" s="67"/>
    </row>
    <row r="443">
      <c r="D443" s="67"/>
      <c r="E443" s="67"/>
      <c r="G443" s="67"/>
      <c r="H443" s="67"/>
    </row>
    <row r="444">
      <c r="D444" s="67"/>
      <c r="E444" s="67"/>
      <c r="G444" s="67"/>
      <c r="H444" s="67"/>
    </row>
    <row r="445">
      <c r="D445" s="67"/>
      <c r="E445" s="67"/>
      <c r="G445" s="67"/>
      <c r="H445" s="67"/>
    </row>
    <row r="446">
      <c r="D446" s="67"/>
      <c r="E446" s="67"/>
      <c r="G446" s="67"/>
      <c r="H446" s="67"/>
    </row>
    <row r="447">
      <c r="D447" s="67"/>
      <c r="E447" s="67"/>
      <c r="G447" s="67"/>
      <c r="H447" s="67"/>
    </row>
    <row r="448">
      <c r="D448" s="67"/>
      <c r="E448" s="67"/>
      <c r="G448" s="67"/>
      <c r="H448" s="67"/>
    </row>
    <row r="449">
      <c r="D449" s="67"/>
      <c r="E449" s="67"/>
      <c r="G449" s="67"/>
      <c r="H449" s="67"/>
    </row>
    <row r="450">
      <c r="D450" s="67"/>
      <c r="E450" s="67"/>
      <c r="G450" s="67"/>
      <c r="H450" s="67"/>
    </row>
    <row r="451">
      <c r="D451" s="67"/>
      <c r="E451" s="67"/>
      <c r="G451" s="67"/>
      <c r="H451" s="67"/>
    </row>
    <row r="452">
      <c r="D452" s="67"/>
      <c r="E452" s="67"/>
      <c r="G452" s="67"/>
      <c r="H452" s="67"/>
    </row>
    <row r="453">
      <c r="D453" s="67"/>
      <c r="E453" s="67"/>
      <c r="G453" s="67"/>
      <c r="H453" s="67"/>
    </row>
    <row r="454">
      <c r="D454" s="67"/>
      <c r="E454" s="67"/>
      <c r="G454" s="67"/>
      <c r="H454" s="67"/>
    </row>
    <row r="455">
      <c r="D455" s="67"/>
      <c r="E455" s="67"/>
      <c r="G455" s="67"/>
      <c r="H455" s="67"/>
    </row>
    <row r="456">
      <c r="D456" s="67"/>
      <c r="E456" s="67"/>
      <c r="G456" s="67"/>
      <c r="H456" s="67"/>
    </row>
    <row r="457">
      <c r="D457" s="67"/>
      <c r="E457" s="67"/>
      <c r="G457" s="67"/>
      <c r="H457" s="67"/>
    </row>
    <row r="458">
      <c r="D458" s="67"/>
      <c r="E458" s="67"/>
      <c r="G458" s="67"/>
      <c r="H458" s="67"/>
    </row>
    <row r="459">
      <c r="D459" s="67"/>
      <c r="E459" s="67"/>
      <c r="G459" s="67"/>
      <c r="H459" s="67"/>
    </row>
    <row r="460">
      <c r="D460" s="67"/>
      <c r="E460" s="67"/>
      <c r="G460" s="67"/>
      <c r="H460" s="67"/>
    </row>
    <row r="461">
      <c r="D461" s="67"/>
      <c r="E461" s="67"/>
      <c r="G461" s="67"/>
      <c r="H461" s="67"/>
    </row>
    <row r="462">
      <c r="D462" s="67"/>
      <c r="E462" s="67"/>
      <c r="G462" s="67"/>
      <c r="H462" s="67"/>
    </row>
    <row r="463">
      <c r="D463" s="67"/>
      <c r="E463" s="67"/>
      <c r="G463" s="67"/>
      <c r="H463" s="67"/>
    </row>
    <row r="464">
      <c r="D464" s="67"/>
      <c r="E464" s="67"/>
      <c r="G464" s="67"/>
      <c r="H464" s="67"/>
    </row>
    <row r="465">
      <c r="D465" s="67"/>
      <c r="E465" s="67"/>
      <c r="G465" s="67"/>
      <c r="H465" s="67"/>
    </row>
    <row r="466">
      <c r="D466" s="67"/>
      <c r="E466" s="67"/>
      <c r="G466" s="67"/>
      <c r="H466" s="67"/>
    </row>
    <row r="467">
      <c r="D467" s="67"/>
      <c r="E467" s="67"/>
      <c r="G467" s="67"/>
      <c r="H467" s="67"/>
    </row>
    <row r="468">
      <c r="D468" s="67"/>
      <c r="E468" s="67"/>
      <c r="G468" s="67"/>
      <c r="H468" s="67"/>
    </row>
    <row r="469">
      <c r="D469" s="67"/>
      <c r="E469" s="67"/>
      <c r="G469" s="67"/>
      <c r="H469" s="67"/>
    </row>
    <row r="470">
      <c r="D470" s="67"/>
      <c r="E470" s="67"/>
      <c r="G470" s="67"/>
      <c r="H470" s="67"/>
    </row>
    <row r="471">
      <c r="D471" s="67"/>
      <c r="E471" s="67"/>
      <c r="G471" s="67"/>
      <c r="H471" s="67"/>
    </row>
    <row r="472">
      <c r="D472" s="67"/>
      <c r="E472" s="67"/>
      <c r="G472" s="67"/>
      <c r="H472" s="67"/>
    </row>
    <row r="473">
      <c r="D473" s="67"/>
      <c r="E473" s="67"/>
      <c r="G473" s="67"/>
      <c r="H473" s="67"/>
    </row>
    <row r="474">
      <c r="D474" s="67"/>
      <c r="E474" s="67"/>
      <c r="G474" s="67"/>
      <c r="H474" s="67"/>
    </row>
    <row r="475">
      <c r="D475" s="67"/>
      <c r="E475" s="67"/>
      <c r="G475" s="67"/>
      <c r="H475" s="67"/>
    </row>
    <row r="476">
      <c r="D476" s="67"/>
      <c r="E476" s="67"/>
      <c r="G476" s="67"/>
      <c r="H476" s="67"/>
    </row>
    <row r="477">
      <c r="D477" s="67"/>
      <c r="E477" s="67"/>
      <c r="G477" s="67"/>
      <c r="H477" s="67"/>
    </row>
    <row r="478">
      <c r="D478" s="67"/>
      <c r="E478" s="67"/>
      <c r="G478" s="67"/>
      <c r="H478" s="67"/>
    </row>
    <row r="479">
      <c r="D479" s="67"/>
      <c r="E479" s="67"/>
      <c r="G479" s="67"/>
      <c r="H479" s="67"/>
    </row>
    <row r="480">
      <c r="D480" s="67"/>
      <c r="E480" s="67"/>
      <c r="G480" s="67"/>
      <c r="H480" s="67"/>
    </row>
    <row r="481">
      <c r="D481" s="67"/>
      <c r="E481" s="67"/>
      <c r="G481" s="67"/>
      <c r="H481" s="67"/>
    </row>
    <row r="482">
      <c r="D482" s="67"/>
      <c r="E482" s="67"/>
      <c r="G482" s="67"/>
      <c r="H482" s="67"/>
    </row>
    <row r="483">
      <c r="D483" s="67"/>
      <c r="E483" s="67"/>
      <c r="G483" s="67"/>
      <c r="H483" s="67"/>
    </row>
    <row r="484">
      <c r="D484" s="67"/>
      <c r="E484" s="67"/>
      <c r="G484" s="67"/>
      <c r="H484" s="67"/>
    </row>
    <row r="485">
      <c r="D485" s="67"/>
      <c r="E485" s="67"/>
      <c r="G485" s="67"/>
      <c r="H485" s="67"/>
    </row>
    <row r="486">
      <c r="D486" s="67"/>
      <c r="E486" s="67"/>
      <c r="G486" s="67"/>
      <c r="H486" s="67"/>
    </row>
    <row r="487">
      <c r="D487" s="67"/>
      <c r="E487" s="67"/>
      <c r="G487" s="67"/>
      <c r="H487" s="67"/>
    </row>
    <row r="488">
      <c r="D488" s="67"/>
      <c r="E488" s="67"/>
      <c r="G488" s="67"/>
      <c r="H488" s="67"/>
    </row>
    <row r="489">
      <c r="D489" s="67"/>
      <c r="E489" s="67"/>
      <c r="G489" s="67"/>
      <c r="H489" s="67"/>
    </row>
    <row r="490">
      <c r="D490" s="67"/>
      <c r="E490" s="67"/>
      <c r="G490" s="67"/>
      <c r="H490" s="67"/>
    </row>
    <row r="491">
      <c r="D491" s="67"/>
      <c r="E491" s="67"/>
      <c r="G491" s="67"/>
      <c r="H491" s="67"/>
    </row>
    <row r="492">
      <c r="D492" s="67"/>
      <c r="E492" s="67"/>
      <c r="G492" s="67"/>
      <c r="H492" s="67"/>
    </row>
    <row r="493">
      <c r="D493" s="67"/>
      <c r="E493" s="67"/>
      <c r="G493" s="67"/>
      <c r="H493" s="67"/>
    </row>
    <row r="494">
      <c r="D494" s="67"/>
      <c r="E494" s="67"/>
      <c r="G494" s="67"/>
      <c r="H494" s="67"/>
    </row>
    <row r="495">
      <c r="D495" s="67"/>
      <c r="E495" s="67"/>
      <c r="G495" s="67"/>
      <c r="H495" s="67"/>
    </row>
    <row r="496">
      <c r="D496" s="67"/>
      <c r="E496" s="67"/>
      <c r="G496" s="67"/>
      <c r="H496" s="67"/>
    </row>
    <row r="497">
      <c r="D497" s="67"/>
      <c r="E497" s="67"/>
      <c r="G497" s="67"/>
      <c r="H497" s="67"/>
    </row>
    <row r="498">
      <c r="D498" s="67"/>
      <c r="E498" s="67"/>
      <c r="G498" s="67"/>
      <c r="H498" s="67"/>
    </row>
    <row r="499">
      <c r="D499" s="67"/>
      <c r="E499" s="67"/>
      <c r="G499" s="67"/>
      <c r="H499" s="67"/>
    </row>
    <row r="500">
      <c r="D500" s="67"/>
      <c r="E500" s="67"/>
      <c r="G500" s="67"/>
      <c r="H500" s="67"/>
    </row>
    <row r="501">
      <c r="D501" s="67"/>
      <c r="E501" s="67"/>
      <c r="G501" s="67"/>
      <c r="H501" s="67"/>
    </row>
    <row r="502">
      <c r="D502" s="67"/>
      <c r="E502" s="67"/>
      <c r="G502" s="67"/>
      <c r="H502" s="67"/>
    </row>
    <row r="503">
      <c r="D503" s="67"/>
      <c r="E503" s="67"/>
      <c r="G503" s="67"/>
      <c r="H503" s="67"/>
    </row>
    <row r="504">
      <c r="D504" s="67"/>
      <c r="E504" s="67"/>
      <c r="G504" s="67"/>
      <c r="H504" s="67"/>
    </row>
    <row r="505">
      <c r="D505" s="67"/>
      <c r="E505" s="67"/>
      <c r="G505" s="67"/>
      <c r="H505" s="67"/>
    </row>
    <row r="506">
      <c r="D506" s="67"/>
      <c r="E506" s="67"/>
      <c r="G506" s="67"/>
      <c r="H506" s="67"/>
    </row>
    <row r="507">
      <c r="D507" s="67"/>
      <c r="E507" s="67"/>
      <c r="G507" s="67"/>
      <c r="H507" s="67"/>
    </row>
    <row r="508">
      <c r="D508" s="67"/>
      <c r="E508" s="67"/>
      <c r="G508" s="67"/>
      <c r="H508" s="67"/>
    </row>
    <row r="509">
      <c r="D509" s="67"/>
      <c r="E509" s="67"/>
      <c r="G509" s="67"/>
      <c r="H509" s="67"/>
    </row>
    <row r="510">
      <c r="D510" s="67"/>
      <c r="E510" s="67"/>
      <c r="G510" s="67"/>
      <c r="H510" s="67"/>
    </row>
    <row r="511">
      <c r="D511" s="67"/>
      <c r="E511" s="67"/>
      <c r="G511" s="67"/>
      <c r="H511" s="67"/>
    </row>
    <row r="512">
      <c r="D512" s="67"/>
      <c r="E512" s="67"/>
      <c r="G512" s="67"/>
      <c r="H512" s="67"/>
    </row>
    <row r="513">
      <c r="D513" s="67"/>
      <c r="E513" s="67"/>
      <c r="G513" s="67"/>
      <c r="H513" s="67"/>
    </row>
    <row r="514">
      <c r="D514" s="67"/>
      <c r="E514" s="67"/>
      <c r="G514" s="67"/>
      <c r="H514" s="67"/>
    </row>
    <row r="515">
      <c r="D515" s="67"/>
      <c r="E515" s="67"/>
      <c r="G515" s="67"/>
      <c r="H515" s="67"/>
    </row>
    <row r="516">
      <c r="D516" s="67"/>
      <c r="E516" s="67"/>
      <c r="G516" s="67"/>
      <c r="H516" s="67"/>
    </row>
    <row r="517">
      <c r="D517" s="67"/>
      <c r="E517" s="67"/>
      <c r="G517" s="67"/>
      <c r="H517" s="67"/>
    </row>
    <row r="518">
      <c r="D518" s="67"/>
      <c r="E518" s="67"/>
      <c r="G518" s="67"/>
      <c r="H518" s="67"/>
    </row>
    <row r="519">
      <c r="D519" s="67"/>
      <c r="E519" s="67"/>
      <c r="G519" s="67"/>
      <c r="H519" s="67"/>
    </row>
    <row r="520">
      <c r="D520" s="67"/>
      <c r="E520" s="67"/>
      <c r="G520" s="67"/>
      <c r="H520" s="67"/>
    </row>
    <row r="521">
      <c r="D521" s="67"/>
      <c r="E521" s="67"/>
      <c r="G521" s="67"/>
      <c r="H521" s="67"/>
    </row>
    <row r="522">
      <c r="D522" s="67"/>
      <c r="E522" s="67"/>
      <c r="G522" s="67"/>
      <c r="H522" s="67"/>
    </row>
    <row r="523">
      <c r="D523" s="67"/>
      <c r="E523" s="67"/>
      <c r="G523" s="67"/>
      <c r="H523" s="67"/>
    </row>
    <row r="524">
      <c r="D524" s="67"/>
      <c r="E524" s="67"/>
      <c r="G524" s="67"/>
      <c r="H524" s="67"/>
    </row>
    <row r="525">
      <c r="D525" s="67"/>
      <c r="E525" s="67"/>
      <c r="G525" s="67"/>
      <c r="H525" s="67"/>
    </row>
    <row r="526">
      <c r="D526" s="67"/>
      <c r="E526" s="67"/>
      <c r="G526" s="67"/>
      <c r="H526" s="67"/>
    </row>
    <row r="527">
      <c r="D527" s="67"/>
      <c r="E527" s="67"/>
      <c r="G527" s="67"/>
      <c r="H527" s="67"/>
    </row>
    <row r="528">
      <c r="D528" s="67"/>
      <c r="E528" s="67"/>
      <c r="G528" s="67"/>
      <c r="H528" s="67"/>
    </row>
    <row r="529">
      <c r="D529" s="67"/>
      <c r="E529" s="67"/>
      <c r="G529" s="67"/>
      <c r="H529" s="67"/>
    </row>
    <row r="530">
      <c r="D530" s="67"/>
      <c r="E530" s="67"/>
      <c r="G530" s="67"/>
      <c r="H530" s="67"/>
    </row>
    <row r="531">
      <c r="D531" s="67"/>
      <c r="E531" s="67"/>
      <c r="G531" s="67"/>
      <c r="H531" s="67"/>
    </row>
    <row r="532">
      <c r="D532" s="67"/>
      <c r="E532" s="67"/>
      <c r="G532" s="67"/>
      <c r="H532" s="67"/>
    </row>
    <row r="533">
      <c r="D533" s="67"/>
      <c r="E533" s="67"/>
      <c r="G533" s="67"/>
      <c r="H533" s="67"/>
    </row>
    <row r="534">
      <c r="D534" s="67"/>
      <c r="E534" s="67"/>
      <c r="G534" s="67"/>
      <c r="H534" s="67"/>
    </row>
    <row r="535">
      <c r="D535" s="67"/>
      <c r="E535" s="67"/>
      <c r="G535" s="67"/>
      <c r="H535" s="67"/>
    </row>
    <row r="536">
      <c r="D536" s="67"/>
      <c r="E536" s="67"/>
      <c r="G536" s="67"/>
      <c r="H536" s="67"/>
    </row>
    <row r="537">
      <c r="D537" s="67"/>
      <c r="E537" s="67"/>
      <c r="G537" s="67"/>
      <c r="H537" s="67"/>
    </row>
    <row r="538">
      <c r="D538" s="67"/>
      <c r="E538" s="67"/>
      <c r="G538" s="67"/>
      <c r="H538" s="67"/>
    </row>
    <row r="539">
      <c r="D539" s="67"/>
      <c r="E539" s="67"/>
      <c r="G539" s="67"/>
      <c r="H539" s="67"/>
    </row>
    <row r="540">
      <c r="D540" s="67"/>
      <c r="E540" s="67"/>
      <c r="G540" s="67"/>
      <c r="H540" s="67"/>
    </row>
    <row r="541">
      <c r="D541" s="67"/>
      <c r="E541" s="67"/>
      <c r="G541" s="67"/>
      <c r="H541" s="67"/>
    </row>
    <row r="542">
      <c r="D542" s="67"/>
      <c r="E542" s="67"/>
      <c r="G542" s="67"/>
      <c r="H542" s="67"/>
    </row>
    <row r="543">
      <c r="D543" s="67"/>
      <c r="E543" s="67"/>
      <c r="G543" s="67"/>
      <c r="H543" s="67"/>
    </row>
    <row r="544">
      <c r="D544" s="67"/>
      <c r="E544" s="67"/>
      <c r="G544" s="67"/>
      <c r="H544" s="67"/>
    </row>
    <row r="545">
      <c r="D545" s="67"/>
      <c r="E545" s="67"/>
      <c r="G545" s="67"/>
      <c r="H545" s="67"/>
    </row>
    <row r="546">
      <c r="D546" s="67"/>
      <c r="E546" s="67"/>
      <c r="G546" s="67"/>
      <c r="H546" s="67"/>
    </row>
    <row r="547">
      <c r="D547" s="67"/>
      <c r="E547" s="67"/>
      <c r="G547" s="67"/>
      <c r="H547" s="67"/>
    </row>
    <row r="548">
      <c r="D548" s="67"/>
      <c r="E548" s="67"/>
      <c r="G548" s="67"/>
      <c r="H548" s="67"/>
    </row>
    <row r="549">
      <c r="D549" s="67"/>
      <c r="E549" s="67"/>
      <c r="G549" s="67"/>
      <c r="H549" s="67"/>
    </row>
    <row r="550">
      <c r="D550" s="67"/>
      <c r="E550" s="67"/>
      <c r="G550" s="67"/>
      <c r="H550" s="67"/>
    </row>
    <row r="551">
      <c r="D551" s="67"/>
      <c r="E551" s="67"/>
      <c r="G551" s="67"/>
      <c r="H551" s="67"/>
    </row>
    <row r="552">
      <c r="D552" s="67"/>
      <c r="E552" s="67"/>
      <c r="G552" s="67"/>
      <c r="H552" s="67"/>
    </row>
    <row r="553">
      <c r="D553" s="67"/>
      <c r="E553" s="67"/>
      <c r="G553" s="67"/>
      <c r="H553" s="67"/>
    </row>
    <row r="554">
      <c r="D554" s="67"/>
      <c r="E554" s="67"/>
      <c r="G554" s="67"/>
      <c r="H554" s="67"/>
    </row>
    <row r="555">
      <c r="D555" s="67"/>
      <c r="E555" s="67"/>
      <c r="G555" s="67"/>
      <c r="H555" s="67"/>
    </row>
    <row r="556">
      <c r="D556" s="67"/>
      <c r="E556" s="67"/>
      <c r="G556" s="67"/>
      <c r="H556" s="67"/>
    </row>
    <row r="557">
      <c r="D557" s="67"/>
      <c r="E557" s="67"/>
      <c r="G557" s="67"/>
      <c r="H557" s="67"/>
    </row>
    <row r="558">
      <c r="D558" s="67"/>
      <c r="E558" s="67"/>
      <c r="G558" s="67"/>
      <c r="H558" s="67"/>
    </row>
    <row r="559">
      <c r="D559" s="67"/>
      <c r="E559" s="67"/>
      <c r="G559" s="67"/>
      <c r="H559" s="67"/>
    </row>
    <row r="560">
      <c r="D560" s="67"/>
      <c r="E560" s="67"/>
      <c r="G560" s="67"/>
      <c r="H560" s="67"/>
    </row>
    <row r="561">
      <c r="D561" s="67"/>
      <c r="E561" s="67"/>
      <c r="G561" s="67"/>
      <c r="H561" s="67"/>
    </row>
    <row r="562">
      <c r="D562" s="67"/>
      <c r="E562" s="67"/>
      <c r="G562" s="67"/>
      <c r="H562" s="67"/>
    </row>
    <row r="563">
      <c r="D563" s="67"/>
      <c r="E563" s="67"/>
      <c r="G563" s="67"/>
      <c r="H563" s="67"/>
    </row>
    <row r="564">
      <c r="D564" s="67"/>
      <c r="E564" s="67"/>
      <c r="G564" s="67"/>
      <c r="H564" s="67"/>
    </row>
    <row r="565">
      <c r="D565" s="67"/>
      <c r="E565" s="67"/>
      <c r="G565" s="67"/>
      <c r="H565" s="67"/>
    </row>
    <row r="566">
      <c r="D566" s="67"/>
      <c r="E566" s="67"/>
      <c r="G566" s="67"/>
      <c r="H566" s="67"/>
    </row>
    <row r="567">
      <c r="D567" s="67"/>
      <c r="E567" s="67"/>
      <c r="G567" s="67"/>
      <c r="H567" s="67"/>
    </row>
    <row r="568">
      <c r="D568" s="67"/>
      <c r="E568" s="67"/>
      <c r="G568" s="67"/>
      <c r="H568" s="67"/>
    </row>
    <row r="569">
      <c r="D569" s="67"/>
      <c r="E569" s="67"/>
      <c r="G569" s="67"/>
      <c r="H569" s="67"/>
    </row>
    <row r="570">
      <c r="D570" s="67"/>
      <c r="E570" s="67"/>
      <c r="G570" s="67"/>
      <c r="H570" s="67"/>
    </row>
    <row r="571">
      <c r="D571" s="67"/>
      <c r="E571" s="67"/>
      <c r="G571" s="67"/>
      <c r="H571" s="67"/>
    </row>
    <row r="572">
      <c r="D572" s="67"/>
      <c r="E572" s="67"/>
      <c r="G572" s="67"/>
      <c r="H572" s="67"/>
    </row>
    <row r="573">
      <c r="D573" s="67"/>
      <c r="E573" s="67"/>
      <c r="G573" s="67"/>
      <c r="H573" s="67"/>
    </row>
    <row r="574">
      <c r="D574" s="67"/>
      <c r="E574" s="67"/>
      <c r="G574" s="67"/>
      <c r="H574" s="67"/>
    </row>
    <row r="575">
      <c r="D575" s="67"/>
      <c r="E575" s="67"/>
      <c r="G575" s="67"/>
      <c r="H575" s="67"/>
    </row>
    <row r="576">
      <c r="D576" s="67"/>
      <c r="E576" s="67"/>
      <c r="G576" s="67"/>
      <c r="H576" s="67"/>
    </row>
    <row r="577">
      <c r="D577" s="67"/>
      <c r="E577" s="67"/>
      <c r="G577" s="67"/>
      <c r="H577" s="67"/>
    </row>
    <row r="578">
      <c r="D578" s="67"/>
      <c r="E578" s="67"/>
      <c r="G578" s="67"/>
      <c r="H578" s="67"/>
    </row>
    <row r="579">
      <c r="D579" s="67"/>
      <c r="E579" s="67"/>
      <c r="G579" s="67"/>
      <c r="H579" s="67"/>
    </row>
    <row r="580">
      <c r="D580" s="67"/>
      <c r="E580" s="67"/>
      <c r="G580" s="67"/>
      <c r="H580" s="67"/>
    </row>
    <row r="581">
      <c r="D581" s="67"/>
      <c r="E581" s="67"/>
      <c r="G581" s="67"/>
      <c r="H581" s="67"/>
    </row>
    <row r="582">
      <c r="D582" s="67"/>
      <c r="E582" s="67"/>
      <c r="G582" s="67"/>
      <c r="H582" s="67"/>
    </row>
    <row r="583">
      <c r="D583" s="67"/>
      <c r="E583" s="67"/>
      <c r="G583" s="67"/>
      <c r="H583" s="67"/>
    </row>
    <row r="584">
      <c r="D584" s="67"/>
      <c r="E584" s="67"/>
      <c r="G584" s="67"/>
      <c r="H584" s="67"/>
    </row>
    <row r="585">
      <c r="D585" s="67"/>
      <c r="E585" s="67"/>
      <c r="G585" s="67"/>
      <c r="H585" s="67"/>
    </row>
    <row r="586">
      <c r="D586" s="67"/>
      <c r="E586" s="67"/>
      <c r="G586" s="67"/>
      <c r="H586" s="67"/>
    </row>
    <row r="587">
      <c r="D587" s="67"/>
      <c r="E587" s="67"/>
      <c r="G587" s="67"/>
      <c r="H587" s="67"/>
    </row>
    <row r="588">
      <c r="D588" s="67"/>
      <c r="E588" s="67"/>
      <c r="G588" s="67"/>
      <c r="H588" s="67"/>
    </row>
    <row r="589">
      <c r="D589" s="67"/>
      <c r="E589" s="67"/>
      <c r="G589" s="67"/>
      <c r="H589" s="67"/>
    </row>
    <row r="590">
      <c r="D590" s="67"/>
      <c r="E590" s="67"/>
      <c r="G590" s="67"/>
      <c r="H590" s="67"/>
    </row>
    <row r="591">
      <c r="D591" s="67"/>
      <c r="E591" s="67"/>
      <c r="G591" s="67"/>
      <c r="H591" s="67"/>
    </row>
    <row r="592">
      <c r="D592" s="67"/>
      <c r="E592" s="67"/>
      <c r="G592" s="67"/>
      <c r="H592" s="67"/>
    </row>
    <row r="593">
      <c r="D593" s="67"/>
      <c r="E593" s="67"/>
      <c r="G593" s="67"/>
      <c r="H593" s="67"/>
    </row>
    <row r="594">
      <c r="D594" s="67"/>
      <c r="E594" s="67"/>
      <c r="G594" s="67"/>
      <c r="H594" s="67"/>
    </row>
    <row r="595">
      <c r="D595" s="67"/>
      <c r="E595" s="67"/>
      <c r="G595" s="67"/>
      <c r="H595" s="67"/>
    </row>
    <row r="596">
      <c r="D596" s="67"/>
      <c r="E596" s="67"/>
      <c r="G596" s="67"/>
      <c r="H596" s="67"/>
    </row>
    <row r="597">
      <c r="D597" s="67"/>
      <c r="E597" s="67"/>
      <c r="G597" s="67"/>
      <c r="H597" s="67"/>
    </row>
    <row r="598">
      <c r="D598" s="67"/>
      <c r="E598" s="67"/>
      <c r="G598" s="67"/>
      <c r="H598" s="67"/>
    </row>
    <row r="599">
      <c r="D599" s="67"/>
      <c r="E599" s="67"/>
      <c r="G599" s="67"/>
      <c r="H599" s="67"/>
    </row>
    <row r="600">
      <c r="D600" s="67"/>
      <c r="E600" s="67"/>
      <c r="G600" s="67"/>
      <c r="H600" s="67"/>
    </row>
    <row r="601">
      <c r="D601" s="67"/>
      <c r="E601" s="67"/>
      <c r="G601" s="67"/>
      <c r="H601" s="67"/>
    </row>
    <row r="602">
      <c r="D602" s="67"/>
      <c r="E602" s="67"/>
      <c r="G602" s="67"/>
      <c r="H602" s="67"/>
    </row>
    <row r="603">
      <c r="D603" s="67"/>
      <c r="E603" s="67"/>
      <c r="G603" s="67"/>
      <c r="H603" s="67"/>
    </row>
    <row r="604">
      <c r="D604" s="67"/>
      <c r="E604" s="67"/>
      <c r="G604" s="67"/>
      <c r="H604" s="67"/>
    </row>
    <row r="605">
      <c r="D605" s="67"/>
      <c r="E605" s="67"/>
      <c r="G605" s="67"/>
      <c r="H605" s="67"/>
    </row>
    <row r="606">
      <c r="D606" s="67"/>
      <c r="E606" s="67"/>
      <c r="G606" s="67"/>
      <c r="H606" s="67"/>
    </row>
    <row r="607">
      <c r="D607" s="67"/>
      <c r="E607" s="67"/>
      <c r="G607" s="67"/>
      <c r="H607" s="67"/>
    </row>
    <row r="608">
      <c r="D608" s="67"/>
      <c r="E608" s="67"/>
      <c r="G608" s="67"/>
      <c r="H608" s="67"/>
    </row>
    <row r="609">
      <c r="D609" s="67"/>
      <c r="E609" s="67"/>
      <c r="G609" s="67"/>
      <c r="H609" s="67"/>
    </row>
    <row r="610">
      <c r="D610" s="67"/>
      <c r="E610" s="67"/>
      <c r="G610" s="67"/>
      <c r="H610" s="67"/>
    </row>
    <row r="611">
      <c r="D611" s="67"/>
      <c r="E611" s="67"/>
      <c r="G611" s="67"/>
      <c r="H611" s="67"/>
    </row>
    <row r="612">
      <c r="D612" s="67"/>
      <c r="E612" s="67"/>
      <c r="G612" s="67"/>
      <c r="H612" s="67"/>
    </row>
    <row r="613">
      <c r="D613" s="67"/>
      <c r="E613" s="67"/>
      <c r="G613" s="67"/>
      <c r="H613" s="67"/>
    </row>
    <row r="614">
      <c r="D614" s="67"/>
      <c r="E614" s="67"/>
      <c r="G614" s="67"/>
      <c r="H614" s="67"/>
    </row>
    <row r="615">
      <c r="D615" s="67"/>
      <c r="E615" s="67"/>
      <c r="G615" s="67"/>
      <c r="H615" s="67"/>
    </row>
    <row r="616">
      <c r="D616" s="67"/>
      <c r="E616" s="67"/>
      <c r="G616" s="67"/>
      <c r="H616" s="67"/>
    </row>
    <row r="617">
      <c r="D617" s="67"/>
      <c r="E617" s="67"/>
      <c r="G617" s="67"/>
      <c r="H617" s="67"/>
    </row>
    <row r="618">
      <c r="D618" s="67"/>
      <c r="E618" s="67"/>
      <c r="G618" s="67"/>
      <c r="H618" s="67"/>
    </row>
    <row r="619">
      <c r="D619" s="67"/>
      <c r="E619" s="67"/>
      <c r="G619" s="67"/>
      <c r="H619" s="67"/>
    </row>
    <row r="620">
      <c r="D620" s="67"/>
      <c r="E620" s="67"/>
      <c r="G620" s="67"/>
      <c r="H620" s="67"/>
    </row>
    <row r="621">
      <c r="D621" s="67"/>
      <c r="E621" s="67"/>
      <c r="G621" s="67"/>
      <c r="H621" s="67"/>
    </row>
    <row r="622">
      <c r="D622" s="67"/>
      <c r="E622" s="67"/>
      <c r="G622" s="67"/>
      <c r="H622" s="67"/>
    </row>
    <row r="623">
      <c r="D623" s="67"/>
      <c r="E623" s="67"/>
      <c r="G623" s="67"/>
      <c r="H623" s="67"/>
    </row>
    <row r="624">
      <c r="D624" s="67"/>
      <c r="E624" s="67"/>
      <c r="G624" s="67"/>
      <c r="H624" s="67"/>
    </row>
    <row r="625">
      <c r="D625" s="67"/>
      <c r="E625" s="67"/>
      <c r="G625" s="67"/>
      <c r="H625" s="67"/>
    </row>
    <row r="626">
      <c r="D626" s="67"/>
      <c r="E626" s="67"/>
      <c r="G626" s="67"/>
      <c r="H626" s="67"/>
    </row>
    <row r="627">
      <c r="D627" s="67"/>
      <c r="E627" s="67"/>
      <c r="G627" s="67"/>
      <c r="H627" s="67"/>
    </row>
    <row r="628">
      <c r="D628" s="67"/>
      <c r="E628" s="67"/>
      <c r="G628" s="67"/>
      <c r="H628" s="67"/>
    </row>
    <row r="629">
      <c r="D629" s="67"/>
      <c r="E629" s="67"/>
      <c r="G629" s="67"/>
      <c r="H629" s="67"/>
    </row>
    <row r="630">
      <c r="D630" s="67"/>
      <c r="E630" s="67"/>
      <c r="G630" s="67"/>
      <c r="H630" s="67"/>
    </row>
    <row r="631">
      <c r="D631" s="67"/>
      <c r="E631" s="67"/>
      <c r="G631" s="67"/>
      <c r="H631" s="67"/>
    </row>
    <row r="632">
      <c r="D632" s="67"/>
      <c r="E632" s="67"/>
      <c r="G632" s="67"/>
      <c r="H632" s="67"/>
    </row>
    <row r="633">
      <c r="D633" s="67"/>
      <c r="E633" s="67"/>
      <c r="G633" s="67"/>
      <c r="H633" s="67"/>
    </row>
    <row r="634">
      <c r="D634" s="67"/>
      <c r="E634" s="67"/>
      <c r="G634" s="67"/>
      <c r="H634" s="67"/>
    </row>
    <row r="635">
      <c r="D635" s="67"/>
      <c r="E635" s="67"/>
      <c r="G635" s="67"/>
      <c r="H635" s="67"/>
    </row>
    <row r="636">
      <c r="D636" s="67"/>
      <c r="E636" s="67"/>
      <c r="G636" s="67"/>
      <c r="H636" s="67"/>
    </row>
    <row r="637">
      <c r="D637" s="67"/>
      <c r="E637" s="67"/>
      <c r="G637" s="67"/>
      <c r="H637" s="67"/>
    </row>
    <row r="638">
      <c r="D638" s="67"/>
      <c r="E638" s="67"/>
      <c r="G638" s="67"/>
      <c r="H638" s="67"/>
    </row>
    <row r="639">
      <c r="D639" s="67"/>
      <c r="E639" s="67"/>
      <c r="G639" s="67"/>
      <c r="H639" s="67"/>
    </row>
    <row r="640">
      <c r="D640" s="67"/>
      <c r="E640" s="67"/>
      <c r="G640" s="67"/>
      <c r="H640" s="67"/>
    </row>
    <row r="641">
      <c r="D641" s="67"/>
      <c r="E641" s="67"/>
      <c r="G641" s="67"/>
      <c r="H641" s="67"/>
    </row>
    <row r="642">
      <c r="D642" s="67"/>
      <c r="E642" s="67"/>
      <c r="G642" s="67"/>
      <c r="H642" s="67"/>
    </row>
    <row r="643">
      <c r="D643" s="67"/>
      <c r="E643" s="67"/>
      <c r="G643" s="67"/>
      <c r="H643" s="67"/>
    </row>
    <row r="644">
      <c r="D644" s="67"/>
      <c r="E644" s="67"/>
      <c r="G644" s="67"/>
      <c r="H644" s="67"/>
    </row>
    <row r="645">
      <c r="D645" s="67"/>
      <c r="E645" s="67"/>
      <c r="G645" s="67"/>
      <c r="H645" s="67"/>
    </row>
    <row r="646">
      <c r="D646" s="67"/>
      <c r="E646" s="67"/>
      <c r="G646" s="67"/>
      <c r="H646" s="67"/>
    </row>
    <row r="647">
      <c r="D647" s="67"/>
      <c r="E647" s="67"/>
      <c r="G647" s="67"/>
      <c r="H647" s="67"/>
    </row>
    <row r="648">
      <c r="D648" s="67"/>
      <c r="E648" s="67"/>
      <c r="G648" s="67"/>
      <c r="H648" s="67"/>
    </row>
    <row r="649">
      <c r="D649" s="67"/>
      <c r="E649" s="67"/>
      <c r="G649" s="67"/>
      <c r="H649" s="67"/>
    </row>
    <row r="650">
      <c r="D650" s="67"/>
      <c r="E650" s="67"/>
      <c r="G650" s="67"/>
      <c r="H650" s="67"/>
    </row>
    <row r="651">
      <c r="D651" s="67"/>
      <c r="E651" s="67"/>
      <c r="G651" s="67"/>
      <c r="H651" s="67"/>
    </row>
    <row r="652">
      <c r="D652" s="67"/>
      <c r="E652" s="67"/>
      <c r="G652" s="67"/>
      <c r="H652" s="67"/>
    </row>
    <row r="653">
      <c r="D653" s="67"/>
      <c r="E653" s="67"/>
      <c r="G653" s="67"/>
      <c r="H653" s="67"/>
    </row>
    <row r="654">
      <c r="D654" s="67"/>
      <c r="E654" s="67"/>
      <c r="G654" s="67"/>
      <c r="H654" s="67"/>
    </row>
    <row r="655">
      <c r="D655" s="67"/>
      <c r="E655" s="67"/>
      <c r="G655" s="67"/>
      <c r="H655" s="67"/>
    </row>
    <row r="656">
      <c r="D656" s="67"/>
      <c r="E656" s="67"/>
      <c r="G656" s="67"/>
      <c r="H656" s="67"/>
    </row>
    <row r="657">
      <c r="D657" s="67"/>
      <c r="E657" s="67"/>
      <c r="G657" s="67"/>
      <c r="H657" s="67"/>
    </row>
    <row r="658">
      <c r="D658" s="67"/>
      <c r="E658" s="67"/>
      <c r="G658" s="67"/>
      <c r="H658" s="67"/>
    </row>
    <row r="659">
      <c r="D659" s="67"/>
      <c r="E659" s="67"/>
      <c r="G659" s="67"/>
      <c r="H659" s="67"/>
    </row>
    <row r="660">
      <c r="D660" s="67"/>
      <c r="E660" s="67"/>
      <c r="G660" s="67"/>
      <c r="H660" s="67"/>
    </row>
    <row r="661">
      <c r="D661" s="67"/>
      <c r="E661" s="67"/>
      <c r="G661" s="67"/>
      <c r="H661" s="67"/>
    </row>
    <row r="662">
      <c r="D662" s="67"/>
      <c r="E662" s="67"/>
      <c r="G662" s="67"/>
      <c r="H662" s="67"/>
    </row>
    <row r="663">
      <c r="D663" s="67"/>
      <c r="E663" s="67"/>
      <c r="G663" s="67"/>
      <c r="H663" s="67"/>
    </row>
    <row r="664">
      <c r="D664" s="67"/>
      <c r="E664" s="67"/>
      <c r="G664" s="67"/>
      <c r="H664" s="67"/>
    </row>
    <row r="665">
      <c r="D665" s="67"/>
      <c r="E665" s="67"/>
      <c r="G665" s="67"/>
      <c r="H665" s="67"/>
    </row>
    <row r="666">
      <c r="D666" s="67"/>
      <c r="E666" s="67"/>
      <c r="G666" s="67"/>
      <c r="H666" s="67"/>
    </row>
    <row r="667">
      <c r="D667" s="67"/>
      <c r="E667" s="67"/>
      <c r="G667" s="67"/>
      <c r="H667" s="67"/>
    </row>
    <row r="668">
      <c r="D668" s="67"/>
      <c r="E668" s="67"/>
      <c r="G668" s="67"/>
      <c r="H668" s="67"/>
    </row>
    <row r="669">
      <c r="D669" s="67"/>
      <c r="E669" s="67"/>
      <c r="G669" s="67"/>
      <c r="H669" s="67"/>
    </row>
    <row r="670">
      <c r="D670" s="67"/>
      <c r="E670" s="67"/>
      <c r="G670" s="67"/>
      <c r="H670" s="67"/>
    </row>
    <row r="671">
      <c r="D671" s="67"/>
      <c r="E671" s="67"/>
      <c r="G671" s="67"/>
      <c r="H671" s="67"/>
    </row>
    <row r="672">
      <c r="D672" s="67"/>
      <c r="E672" s="67"/>
      <c r="G672" s="67"/>
      <c r="H672" s="67"/>
    </row>
    <row r="673">
      <c r="D673" s="67"/>
      <c r="E673" s="67"/>
      <c r="G673" s="67"/>
      <c r="H673" s="67"/>
    </row>
    <row r="674">
      <c r="D674" s="67"/>
      <c r="E674" s="67"/>
      <c r="G674" s="67"/>
      <c r="H674" s="67"/>
    </row>
    <row r="675">
      <c r="D675" s="67"/>
      <c r="E675" s="67"/>
      <c r="G675" s="67"/>
      <c r="H675" s="67"/>
    </row>
    <row r="676">
      <c r="D676" s="67"/>
      <c r="E676" s="67"/>
      <c r="G676" s="67"/>
      <c r="H676" s="67"/>
    </row>
    <row r="677">
      <c r="D677" s="67"/>
      <c r="E677" s="67"/>
      <c r="G677" s="67"/>
      <c r="H677" s="67"/>
    </row>
    <row r="678">
      <c r="D678" s="67"/>
      <c r="E678" s="67"/>
      <c r="G678" s="67"/>
      <c r="H678" s="67"/>
    </row>
    <row r="679">
      <c r="D679" s="67"/>
      <c r="E679" s="67"/>
      <c r="G679" s="67"/>
      <c r="H679" s="67"/>
    </row>
    <row r="680">
      <c r="D680" s="67"/>
      <c r="E680" s="67"/>
      <c r="G680" s="67"/>
      <c r="H680" s="67"/>
    </row>
    <row r="681">
      <c r="D681" s="67"/>
      <c r="E681" s="67"/>
      <c r="G681" s="67"/>
      <c r="H681" s="67"/>
    </row>
    <row r="682">
      <c r="D682" s="67"/>
      <c r="E682" s="67"/>
      <c r="G682" s="67"/>
      <c r="H682" s="67"/>
    </row>
    <row r="683">
      <c r="D683" s="67"/>
      <c r="E683" s="67"/>
      <c r="G683" s="67"/>
      <c r="H683" s="67"/>
    </row>
    <row r="684">
      <c r="D684" s="67"/>
      <c r="E684" s="67"/>
      <c r="G684" s="67"/>
      <c r="H684" s="67"/>
    </row>
    <row r="685">
      <c r="D685" s="67"/>
      <c r="E685" s="67"/>
      <c r="G685" s="67"/>
      <c r="H685" s="67"/>
    </row>
    <row r="686">
      <c r="D686" s="67"/>
      <c r="E686" s="67"/>
      <c r="G686" s="67"/>
      <c r="H686" s="67"/>
    </row>
    <row r="687">
      <c r="D687" s="67"/>
      <c r="E687" s="67"/>
      <c r="G687" s="67"/>
      <c r="H687" s="67"/>
    </row>
    <row r="688">
      <c r="D688" s="67"/>
      <c r="E688" s="67"/>
      <c r="G688" s="67"/>
      <c r="H688" s="67"/>
    </row>
    <row r="689">
      <c r="D689" s="67"/>
      <c r="E689" s="67"/>
      <c r="G689" s="67"/>
      <c r="H689" s="67"/>
    </row>
    <row r="690">
      <c r="D690" s="67"/>
      <c r="E690" s="67"/>
      <c r="G690" s="67"/>
      <c r="H690" s="67"/>
    </row>
    <row r="691">
      <c r="D691" s="67"/>
      <c r="E691" s="67"/>
      <c r="G691" s="67"/>
      <c r="H691" s="67"/>
    </row>
    <row r="692">
      <c r="D692" s="67"/>
      <c r="E692" s="67"/>
      <c r="G692" s="67"/>
      <c r="H692" s="67"/>
    </row>
    <row r="693">
      <c r="D693" s="67"/>
      <c r="E693" s="67"/>
      <c r="G693" s="67"/>
      <c r="H693" s="67"/>
    </row>
    <row r="694">
      <c r="D694" s="67"/>
      <c r="E694" s="67"/>
      <c r="G694" s="67"/>
      <c r="H694" s="67"/>
    </row>
    <row r="695">
      <c r="D695" s="67"/>
      <c r="E695" s="67"/>
      <c r="G695" s="67"/>
      <c r="H695" s="67"/>
    </row>
    <row r="696">
      <c r="D696" s="67"/>
      <c r="E696" s="67"/>
      <c r="G696" s="67"/>
      <c r="H696" s="67"/>
    </row>
    <row r="697">
      <c r="D697" s="67"/>
      <c r="E697" s="67"/>
      <c r="G697" s="67"/>
      <c r="H697" s="67"/>
    </row>
    <row r="698">
      <c r="D698" s="67"/>
      <c r="E698" s="67"/>
      <c r="G698" s="67"/>
      <c r="H698" s="67"/>
    </row>
    <row r="699">
      <c r="D699" s="67"/>
      <c r="E699" s="67"/>
      <c r="G699" s="67"/>
      <c r="H699" s="67"/>
    </row>
    <row r="700">
      <c r="D700" s="67"/>
      <c r="E700" s="67"/>
      <c r="G700" s="67"/>
      <c r="H700" s="67"/>
    </row>
    <row r="701">
      <c r="D701" s="67"/>
      <c r="E701" s="67"/>
      <c r="G701" s="67"/>
      <c r="H701" s="67"/>
    </row>
    <row r="702">
      <c r="D702" s="67"/>
      <c r="E702" s="67"/>
      <c r="G702" s="67"/>
      <c r="H702" s="67"/>
    </row>
    <row r="703">
      <c r="D703" s="67"/>
      <c r="E703" s="67"/>
      <c r="G703" s="67"/>
      <c r="H703" s="67"/>
    </row>
    <row r="704">
      <c r="D704" s="67"/>
      <c r="E704" s="67"/>
      <c r="G704" s="67"/>
      <c r="H704" s="67"/>
    </row>
    <row r="705">
      <c r="D705" s="67"/>
      <c r="E705" s="67"/>
      <c r="G705" s="67"/>
      <c r="H705" s="67"/>
    </row>
    <row r="706">
      <c r="D706" s="67"/>
      <c r="E706" s="67"/>
      <c r="G706" s="67"/>
      <c r="H706" s="67"/>
    </row>
    <row r="707">
      <c r="D707" s="67"/>
      <c r="E707" s="67"/>
      <c r="G707" s="67"/>
      <c r="H707" s="67"/>
    </row>
    <row r="708">
      <c r="D708" s="67"/>
      <c r="E708" s="67"/>
      <c r="G708" s="67"/>
      <c r="H708" s="67"/>
    </row>
    <row r="709">
      <c r="D709" s="67"/>
      <c r="E709" s="67"/>
      <c r="G709" s="67"/>
      <c r="H709" s="67"/>
    </row>
    <row r="710">
      <c r="D710" s="67"/>
      <c r="E710" s="67"/>
      <c r="G710" s="67"/>
      <c r="H710" s="67"/>
    </row>
    <row r="711">
      <c r="D711" s="67"/>
      <c r="E711" s="67"/>
      <c r="G711" s="67"/>
      <c r="H711" s="67"/>
    </row>
    <row r="712">
      <c r="D712" s="67"/>
      <c r="E712" s="67"/>
      <c r="G712" s="67"/>
      <c r="H712" s="67"/>
    </row>
    <row r="713">
      <c r="D713" s="67"/>
      <c r="E713" s="67"/>
      <c r="G713" s="67"/>
      <c r="H713" s="67"/>
    </row>
    <row r="714">
      <c r="D714" s="67"/>
      <c r="E714" s="67"/>
      <c r="G714" s="67"/>
      <c r="H714" s="67"/>
    </row>
    <row r="715">
      <c r="D715" s="67"/>
      <c r="E715" s="67"/>
      <c r="G715" s="67"/>
      <c r="H715" s="67"/>
    </row>
    <row r="716">
      <c r="D716" s="67"/>
      <c r="E716" s="67"/>
      <c r="G716" s="67"/>
      <c r="H716" s="67"/>
    </row>
    <row r="717">
      <c r="D717" s="67"/>
      <c r="E717" s="67"/>
      <c r="G717" s="67"/>
      <c r="H717" s="67"/>
    </row>
    <row r="718">
      <c r="D718" s="67"/>
      <c r="E718" s="67"/>
      <c r="G718" s="67"/>
      <c r="H718" s="67"/>
    </row>
    <row r="719">
      <c r="D719" s="67"/>
      <c r="E719" s="67"/>
      <c r="G719" s="67"/>
      <c r="H719" s="67"/>
    </row>
    <row r="720">
      <c r="D720" s="67"/>
      <c r="E720" s="67"/>
      <c r="G720" s="67"/>
      <c r="H720" s="67"/>
    </row>
    <row r="721">
      <c r="D721" s="67"/>
      <c r="E721" s="67"/>
      <c r="G721" s="67"/>
      <c r="H721" s="67"/>
    </row>
    <row r="722">
      <c r="D722" s="67"/>
      <c r="E722" s="67"/>
      <c r="G722" s="67"/>
      <c r="H722" s="67"/>
    </row>
    <row r="723">
      <c r="D723" s="67"/>
      <c r="E723" s="67"/>
      <c r="G723" s="67"/>
      <c r="H723" s="67"/>
    </row>
    <row r="724">
      <c r="D724" s="67"/>
      <c r="E724" s="67"/>
      <c r="G724" s="67"/>
      <c r="H724" s="67"/>
    </row>
    <row r="725">
      <c r="D725" s="67"/>
      <c r="E725" s="67"/>
      <c r="G725" s="67"/>
      <c r="H725" s="67"/>
    </row>
    <row r="726">
      <c r="D726" s="67"/>
      <c r="E726" s="67"/>
      <c r="G726" s="67"/>
      <c r="H726" s="67"/>
    </row>
    <row r="727">
      <c r="D727" s="67"/>
      <c r="E727" s="67"/>
      <c r="G727" s="67"/>
      <c r="H727" s="67"/>
    </row>
    <row r="728">
      <c r="D728" s="67"/>
      <c r="E728" s="67"/>
      <c r="G728" s="67"/>
      <c r="H728" s="67"/>
    </row>
    <row r="729">
      <c r="D729" s="67"/>
      <c r="E729" s="67"/>
      <c r="G729" s="67"/>
      <c r="H729" s="67"/>
    </row>
    <row r="730">
      <c r="D730" s="67"/>
      <c r="E730" s="67"/>
      <c r="G730" s="67"/>
      <c r="H730" s="67"/>
    </row>
    <row r="731">
      <c r="D731" s="67"/>
      <c r="E731" s="67"/>
      <c r="G731" s="67"/>
      <c r="H731" s="67"/>
    </row>
    <row r="732">
      <c r="D732" s="67"/>
      <c r="E732" s="67"/>
      <c r="G732" s="67"/>
      <c r="H732" s="67"/>
    </row>
    <row r="733">
      <c r="D733" s="67"/>
      <c r="E733" s="67"/>
      <c r="G733" s="67"/>
      <c r="H733" s="67"/>
    </row>
    <row r="734">
      <c r="D734" s="67"/>
      <c r="E734" s="67"/>
      <c r="G734" s="67"/>
      <c r="H734" s="67"/>
    </row>
    <row r="735">
      <c r="D735" s="67"/>
      <c r="E735" s="67"/>
      <c r="G735" s="67"/>
      <c r="H735" s="67"/>
    </row>
    <row r="736">
      <c r="D736" s="67"/>
      <c r="E736" s="67"/>
      <c r="G736" s="67"/>
      <c r="H736" s="67"/>
    </row>
    <row r="737">
      <c r="D737" s="67"/>
      <c r="E737" s="67"/>
      <c r="G737" s="67"/>
      <c r="H737" s="67"/>
    </row>
    <row r="738">
      <c r="D738" s="67"/>
      <c r="E738" s="67"/>
      <c r="G738" s="67"/>
      <c r="H738" s="67"/>
    </row>
    <row r="739">
      <c r="D739" s="67"/>
      <c r="E739" s="67"/>
      <c r="G739" s="67"/>
      <c r="H739" s="67"/>
    </row>
    <row r="740">
      <c r="D740" s="67"/>
      <c r="E740" s="67"/>
      <c r="G740" s="67"/>
      <c r="H740" s="67"/>
    </row>
    <row r="741">
      <c r="D741" s="67"/>
      <c r="E741" s="67"/>
      <c r="G741" s="67"/>
      <c r="H741" s="67"/>
    </row>
    <row r="742">
      <c r="D742" s="67"/>
      <c r="E742" s="67"/>
      <c r="G742" s="67"/>
      <c r="H742" s="67"/>
    </row>
    <row r="743">
      <c r="D743" s="67"/>
      <c r="E743" s="67"/>
      <c r="G743" s="67"/>
      <c r="H743" s="67"/>
    </row>
    <row r="744">
      <c r="D744" s="67"/>
      <c r="E744" s="67"/>
      <c r="G744" s="67"/>
      <c r="H744" s="67"/>
    </row>
    <row r="745">
      <c r="D745" s="67"/>
      <c r="E745" s="67"/>
      <c r="G745" s="67"/>
      <c r="H745" s="67"/>
    </row>
    <row r="746">
      <c r="D746" s="67"/>
      <c r="E746" s="67"/>
      <c r="G746" s="67"/>
      <c r="H746" s="67"/>
    </row>
    <row r="747">
      <c r="D747" s="67"/>
      <c r="E747" s="67"/>
      <c r="G747" s="67"/>
      <c r="H747" s="67"/>
    </row>
    <row r="748">
      <c r="D748" s="67"/>
      <c r="E748" s="67"/>
      <c r="G748" s="67"/>
      <c r="H748" s="67"/>
    </row>
    <row r="749">
      <c r="D749" s="67"/>
      <c r="E749" s="67"/>
      <c r="G749" s="67"/>
      <c r="H749" s="67"/>
    </row>
    <row r="750">
      <c r="D750" s="67"/>
      <c r="E750" s="67"/>
      <c r="G750" s="67"/>
      <c r="H750" s="67"/>
    </row>
    <row r="751">
      <c r="D751" s="67"/>
      <c r="E751" s="67"/>
      <c r="G751" s="67"/>
      <c r="H751" s="67"/>
    </row>
    <row r="752">
      <c r="D752" s="67"/>
      <c r="E752" s="67"/>
      <c r="G752" s="67"/>
      <c r="H752" s="67"/>
    </row>
    <row r="753">
      <c r="D753" s="67"/>
      <c r="E753" s="67"/>
      <c r="G753" s="67"/>
      <c r="H753" s="67"/>
    </row>
    <row r="754">
      <c r="D754" s="67"/>
      <c r="E754" s="67"/>
      <c r="G754" s="67"/>
      <c r="H754" s="67"/>
    </row>
    <row r="755">
      <c r="D755" s="67"/>
      <c r="E755" s="67"/>
      <c r="G755" s="67"/>
      <c r="H755" s="67"/>
    </row>
    <row r="756">
      <c r="D756" s="67"/>
      <c r="E756" s="67"/>
      <c r="G756" s="67"/>
      <c r="H756" s="67"/>
    </row>
    <row r="757">
      <c r="D757" s="67"/>
      <c r="E757" s="67"/>
      <c r="G757" s="67"/>
      <c r="H757" s="67"/>
    </row>
    <row r="758">
      <c r="D758" s="67"/>
      <c r="E758" s="67"/>
      <c r="G758" s="67"/>
      <c r="H758" s="67"/>
    </row>
    <row r="759">
      <c r="D759" s="67"/>
      <c r="E759" s="67"/>
      <c r="G759" s="67"/>
      <c r="H759" s="67"/>
    </row>
    <row r="760">
      <c r="D760" s="67"/>
      <c r="E760" s="67"/>
      <c r="G760" s="67"/>
      <c r="H760" s="67"/>
    </row>
    <row r="761">
      <c r="D761" s="67"/>
      <c r="E761" s="67"/>
      <c r="G761" s="67"/>
      <c r="H761" s="67"/>
    </row>
    <row r="762">
      <c r="D762" s="67"/>
      <c r="E762" s="67"/>
      <c r="G762" s="67"/>
      <c r="H762" s="67"/>
    </row>
    <row r="763">
      <c r="D763" s="67"/>
      <c r="E763" s="67"/>
      <c r="G763" s="67"/>
      <c r="H763" s="67"/>
    </row>
    <row r="764">
      <c r="D764" s="67"/>
      <c r="E764" s="67"/>
      <c r="G764" s="67"/>
      <c r="H764" s="67"/>
    </row>
    <row r="765">
      <c r="D765" s="67"/>
      <c r="E765" s="67"/>
      <c r="G765" s="67"/>
      <c r="H765" s="67"/>
    </row>
    <row r="766">
      <c r="D766" s="67"/>
      <c r="E766" s="67"/>
      <c r="G766" s="67"/>
      <c r="H766" s="67"/>
    </row>
    <row r="767">
      <c r="D767" s="67"/>
      <c r="E767" s="67"/>
      <c r="G767" s="67"/>
      <c r="H767" s="67"/>
    </row>
    <row r="768">
      <c r="D768" s="67"/>
      <c r="E768" s="67"/>
      <c r="G768" s="67"/>
      <c r="H768" s="67"/>
    </row>
    <row r="769">
      <c r="D769" s="67"/>
      <c r="E769" s="67"/>
      <c r="G769" s="67"/>
      <c r="H769" s="67"/>
    </row>
    <row r="770">
      <c r="D770" s="67"/>
      <c r="E770" s="67"/>
      <c r="G770" s="67"/>
      <c r="H770" s="67"/>
    </row>
    <row r="771">
      <c r="D771" s="67"/>
      <c r="E771" s="67"/>
      <c r="G771" s="67"/>
      <c r="H771" s="67"/>
    </row>
    <row r="772">
      <c r="D772" s="67"/>
      <c r="E772" s="67"/>
      <c r="G772" s="67"/>
      <c r="H772" s="67"/>
    </row>
    <row r="773">
      <c r="D773" s="67"/>
      <c r="E773" s="67"/>
      <c r="G773" s="67"/>
      <c r="H773" s="67"/>
    </row>
    <row r="774">
      <c r="D774" s="67"/>
      <c r="E774" s="67"/>
      <c r="G774" s="67"/>
      <c r="H774" s="67"/>
    </row>
    <row r="775">
      <c r="D775" s="67"/>
      <c r="E775" s="67"/>
      <c r="G775" s="67"/>
      <c r="H775" s="67"/>
    </row>
    <row r="776">
      <c r="D776" s="67"/>
      <c r="E776" s="67"/>
      <c r="G776" s="67"/>
      <c r="H776" s="67"/>
    </row>
    <row r="777">
      <c r="D777" s="67"/>
      <c r="E777" s="67"/>
      <c r="G777" s="67"/>
      <c r="H777" s="67"/>
    </row>
    <row r="778">
      <c r="D778" s="67"/>
      <c r="E778" s="67"/>
      <c r="G778" s="67"/>
      <c r="H778" s="67"/>
    </row>
    <row r="779">
      <c r="D779" s="67"/>
      <c r="E779" s="67"/>
      <c r="G779" s="67"/>
      <c r="H779" s="67"/>
    </row>
    <row r="780">
      <c r="D780" s="67"/>
      <c r="E780" s="67"/>
      <c r="G780" s="67"/>
      <c r="H780" s="67"/>
    </row>
    <row r="781">
      <c r="D781" s="67"/>
      <c r="E781" s="67"/>
      <c r="G781" s="67"/>
      <c r="H781" s="67"/>
    </row>
    <row r="782">
      <c r="D782" s="67"/>
      <c r="E782" s="67"/>
      <c r="G782" s="67"/>
      <c r="H782" s="67"/>
    </row>
    <row r="783">
      <c r="D783" s="67"/>
      <c r="E783" s="67"/>
      <c r="G783" s="67"/>
      <c r="H783" s="67"/>
    </row>
    <row r="784">
      <c r="D784" s="67"/>
      <c r="E784" s="67"/>
      <c r="G784" s="67"/>
      <c r="H784" s="67"/>
    </row>
    <row r="785">
      <c r="D785" s="67"/>
      <c r="E785" s="67"/>
      <c r="G785" s="67"/>
      <c r="H785" s="67"/>
    </row>
    <row r="786">
      <c r="D786" s="67"/>
      <c r="E786" s="67"/>
      <c r="G786" s="67"/>
      <c r="H786" s="67"/>
    </row>
    <row r="787">
      <c r="D787" s="67"/>
      <c r="E787" s="67"/>
      <c r="G787" s="67"/>
      <c r="H787" s="67"/>
    </row>
    <row r="788">
      <c r="D788" s="67"/>
      <c r="E788" s="67"/>
      <c r="G788" s="67"/>
      <c r="H788" s="67"/>
    </row>
    <row r="789">
      <c r="D789" s="67"/>
      <c r="E789" s="67"/>
      <c r="G789" s="67"/>
      <c r="H789" s="67"/>
    </row>
    <row r="790">
      <c r="D790" s="67"/>
      <c r="E790" s="67"/>
      <c r="G790" s="67"/>
      <c r="H790" s="67"/>
    </row>
    <row r="791">
      <c r="D791" s="67"/>
      <c r="E791" s="67"/>
      <c r="G791" s="67"/>
      <c r="H791" s="67"/>
    </row>
    <row r="792">
      <c r="D792" s="67"/>
      <c r="E792" s="67"/>
      <c r="G792" s="67"/>
      <c r="H792" s="67"/>
    </row>
    <row r="793">
      <c r="D793" s="67"/>
      <c r="E793" s="67"/>
      <c r="G793" s="67"/>
      <c r="H793" s="67"/>
    </row>
    <row r="794">
      <c r="D794" s="67"/>
      <c r="E794" s="67"/>
      <c r="G794" s="67"/>
      <c r="H794" s="67"/>
    </row>
    <row r="795">
      <c r="D795" s="67"/>
      <c r="E795" s="67"/>
      <c r="G795" s="67"/>
      <c r="H795" s="67"/>
    </row>
    <row r="796">
      <c r="D796" s="67"/>
      <c r="E796" s="67"/>
      <c r="G796" s="67"/>
      <c r="H796" s="67"/>
    </row>
    <row r="797">
      <c r="D797" s="67"/>
      <c r="E797" s="67"/>
      <c r="G797" s="67"/>
      <c r="H797" s="67"/>
    </row>
    <row r="798">
      <c r="D798" s="67"/>
      <c r="E798" s="67"/>
      <c r="G798" s="67"/>
      <c r="H798" s="67"/>
    </row>
    <row r="799">
      <c r="D799" s="67"/>
      <c r="E799" s="67"/>
      <c r="G799" s="67"/>
      <c r="H799" s="67"/>
    </row>
    <row r="800">
      <c r="D800" s="67"/>
      <c r="E800" s="67"/>
      <c r="G800" s="67"/>
      <c r="H800" s="67"/>
    </row>
    <row r="801">
      <c r="D801" s="67"/>
      <c r="E801" s="67"/>
      <c r="G801" s="67"/>
      <c r="H801" s="67"/>
    </row>
    <row r="802">
      <c r="D802" s="67"/>
      <c r="E802" s="67"/>
      <c r="G802" s="67"/>
      <c r="H802" s="67"/>
    </row>
    <row r="803">
      <c r="D803" s="67"/>
      <c r="E803" s="67"/>
      <c r="G803" s="67"/>
      <c r="H803" s="67"/>
    </row>
    <row r="804">
      <c r="D804" s="67"/>
      <c r="E804" s="67"/>
      <c r="G804" s="67"/>
      <c r="H804" s="67"/>
    </row>
    <row r="805">
      <c r="D805" s="67"/>
      <c r="E805" s="67"/>
      <c r="G805" s="67"/>
      <c r="H805" s="67"/>
    </row>
    <row r="806">
      <c r="D806" s="67"/>
      <c r="E806" s="67"/>
      <c r="G806" s="67"/>
      <c r="H806" s="67"/>
    </row>
    <row r="807">
      <c r="D807" s="67"/>
      <c r="E807" s="67"/>
      <c r="G807" s="67"/>
      <c r="H807" s="67"/>
    </row>
    <row r="808">
      <c r="D808" s="67"/>
      <c r="E808" s="67"/>
      <c r="G808" s="67"/>
      <c r="H808" s="67"/>
    </row>
    <row r="809">
      <c r="D809" s="67"/>
      <c r="E809" s="67"/>
      <c r="G809" s="67"/>
      <c r="H809" s="67"/>
    </row>
    <row r="810">
      <c r="D810" s="67"/>
      <c r="E810" s="67"/>
      <c r="G810" s="67"/>
      <c r="H810" s="67"/>
    </row>
    <row r="811">
      <c r="D811" s="67"/>
      <c r="E811" s="67"/>
      <c r="G811" s="67"/>
      <c r="H811" s="67"/>
    </row>
    <row r="812">
      <c r="D812" s="67"/>
      <c r="E812" s="67"/>
      <c r="G812" s="67"/>
      <c r="H812" s="67"/>
    </row>
    <row r="813">
      <c r="D813" s="67"/>
      <c r="E813" s="67"/>
      <c r="G813" s="67"/>
      <c r="H813" s="67"/>
    </row>
    <row r="814">
      <c r="D814" s="67"/>
      <c r="E814" s="67"/>
      <c r="G814" s="67"/>
      <c r="H814" s="67"/>
    </row>
    <row r="815">
      <c r="D815" s="67"/>
      <c r="E815" s="67"/>
      <c r="G815" s="67"/>
      <c r="H815" s="67"/>
    </row>
    <row r="816">
      <c r="D816" s="67"/>
      <c r="E816" s="67"/>
      <c r="G816" s="67"/>
      <c r="H816" s="67"/>
    </row>
    <row r="817">
      <c r="D817" s="67"/>
      <c r="E817" s="67"/>
      <c r="G817" s="67"/>
      <c r="H817" s="67"/>
    </row>
    <row r="818">
      <c r="D818" s="67"/>
      <c r="E818" s="67"/>
      <c r="G818" s="67"/>
      <c r="H818" s="67"/>
    </row>
    <row r="819">
      <c r="D819" s="67"/>
      <c r="E819" s="67"/>
      <c r="G819" s="67"/>
      <c r="H819" s="67"/>
    </row>
    <row r="820">
      <c r="D820" s="67"/>
      <c r="E820" s="67"/>
      <c r="G820" s="67"/>
      <c r="H820" s="67"/>
    </row>
    <row r="821">
      <c r="D821" s="67"/>
      <c r="E821" s="67"/>
      <c r="G821" s="67"/>
      <c r="H821" s="67"/>
    </row>
    <row r="822">
      <c r="D822" s="67"/>
      <c r="E822" s="67"/>
      <c r="G822" s="67"/>
      <c r="H822" s="67"/>
    </row>
    <row r="823">
      <c r="D823" s="67"/>
      <c r="E823" s="67"/>
      <c r="G823" s="67"/>
      <c r="H823" s="67"/>
    </row>
    <row r="824">
      <c r="D824" s="67"/>
      <c r="E824" s="67"/>
      <c r="G824" s="67"/>
      <c r="H824" s="67"/>
    </row>
    <row r="825">
      <c r="D825" s="67"/>
      <c r="E825" s="67"/>
      <c r="G825" s="67"/>
      <c r="H825" s="67"/>
    </row>
    <row r="826">
      <c r="D826" s="67"/>
      <c r="E826" s="67"/>
      <c r="G826" s="67"/>
      <c r="H826" s="67"/>
    </row>
    <row r="827">
      <c r="D827" s="67"/>
      <c r="E827" s="67"/>
      <c r="G827" s="67"/>
      <c r="H827" s="67"/>
    </row>
    <row r="828">
      <c r="D828" s="67"/>
      <c r="E828" s="67"/>
      <c r="G828" s="67"/>
      <c r="H828" s="67"/>
    </row>
    <row r="829">
      <c r="D829" s="67"/>
      <c r="E829" s="67"/>
      <c r="G829" s="67"/>
      <c r="H829" s="67"/>
    </row>
    <row r="830">
      <c r="D830" s="67"/>
      <c r="E830" s="67"/>
      <c r="G830" s="67"/>
      <c r="H830" s="67"/>
    </row>
    <row r="831">
      <c r="D831" s="67"/>
      <c r="E831" s="67"/>
      <c r="G831" s="67"/>
      <c r="H831" s="67"/>
    </row>
    <row r="832">
      <c r="D832" s="67"/>
      <c r="E832" s="67"/>
      <c r="G832" s="67"/>
      <c r="H832" s="67"/>
    </row>
    <row r="833">
      <c r="D833" s="67"/>
      <c r="E833" s="67"/>
      <c r="G833" s="67"/>
      <c r="H833" s="67"/>
    </row>
    <row r="834">
      <c r="D834" s="67"/>
      <c r="E834" s="67"/>
      <c r="G834" s="67"/>
      <c r="H834" s="67"/>
    </row>
    <row r="835">
      <c r="D835" s="67"/>
      <c r="E835" s="67"/>
      <c r="G835" s="67"/>
      <c r="H835" s="67"/>
    </row>
    <row r="836">
      <c r="D836" s="67"/>
      <c r="E836" s="67"/>
      <c r="G836" s="67"/>
      <c r="H836" s="67"/>
    </row>
    <row r="837">
      <c r="D837" s="67"/>
      <c r="E837" s="67"/>
      <c r="G837" s="67"/>
      <c r="H837" s="67"/>
    </row>
    <row r="838">
      <c r="D838" s="67"/>
      <c r="E838" s="67"/>
      <c r="G838" s="67"/>
      <c r="H838" s="67"/>
    </row>
    <row r="839">
      <c r="D839" s="67"/>
      <c r="E839" s="67"/>
      <c r="G839" s="67"/>
      <c r="H839" s="67"/>
    </row>
    <row r="840">
      <c r="D840" s="67"/>
      <c r="E840" s="67"/>
      <c r="G840" s="67"/>
      <c r="H840" s="67"/>
    </row>
    <row r="841">
      <c r="D841" s="67"/>
      <c r="E841" s="67"/>
      <c r="G841" s="67"/>
      <c r="H841" s="67"/>
    </row>
    <row r="842">
      <c r="D842" s="67"/>
      <c r="E842" s="67"/>
      <c r="G842" s="67"/>
      <c r="H842" s="67"/>
    </row>
    <row r="843">
      <c r="D843" s="67"/>
      <c r="E843" s="67"/>
      <c r="G843" s="67"/>
      <c r="H843" s="67"/>
    </row>
    <row r="844">
      <c r="D844" s="67"/>
      <c r="E844" s="67"/>
      <c r="G844" s="67"/>
      <c r="H844" s="67"/>
    </row>
    <row r="845">
      <c r="D845" s="67"/>
      <c r="E845" s="67"/>
      <c r="G845" s="67"/>
      <c r="H845" s="67"/>
    </row>
    <row r="846">
      <c r="D846" s="67"/>
      <c r="E846" s="67"/>
      <c r="G846" s="67"/>
      <c r="H846" s="67"/>
    </row>
    <row r="847">
      <c r="D847" s="67"/>
      <c r="E847" s="67"/>
      <c r="G847" s="67"/>
      <c r="H847" s="67"/>
    </row>
    <row r="848">
      <c r="D848" s="67"/>
      <c r="E848" s="67"/>
      <c r="G848" s="67"/>
      <c r="H848" s="67"/>
    </row>
    <row r="849">
      <c r="D849" s="67"/>
      <c r="E849" s="67"/>
      <c r="G849" s="67"/>
      <c r="H849" s="67"/>
    </row>
    <row r="850">
      <c r="D850" s="67"/>
      <c r="E850" s="67"/>
      <c r="G850" s="67"/>
      <c r="H850" s="67"/>
    </row>
    <row r="851">
      <c r="D851" s="67"/>
      <c r="E851" s="67"/>
      <c r="G851" s="67"/>
      <c r="H851" s="67"/>
    </row>
    <row r="852">
      <c r="D852" s="67"/>
      <c r="E852" s="67"/>
      <c r="G852" s="67"/>
      <c r="H852" s="67"/>
    </row>
    <row r="853">
      <c r="D853" s="67"/>
      <c r="E853" s="67"/>
      <c r="G853" s="67"/>
      <c r="H853" s="67"/>
    </row>
    <row r="854">
      <c r="D854" s="67"/>
      <c r="E854" s="67"/>
      <c r="G854" s="67"/>
      <c r="H854" s="67"/>
    </row>
    <row r="855">
      <c r="D855" s="67"/>
      <c r="E855" s="67"/>
      <c r="G855" s="67"/>
      <c r="H855" s="67"/>
    </row>
    <row r="856">
      <c r="D856" s="67"/>
      <c r="E856" s="67"/>
      <c r="G856" s="67"/>
      <c r="H856" s="67"/>
    </row>
    <row r="857">
      <c r="D857" s="67"/>
      <c r="E857" s="67"/>
      <c r="G857" s="67"/>
      <c r="H857" s="67"/>
    </row>
    <row r="858">
      <c r="D858" s="67"/>
      <c r="E858" s="67"/>
      <c r="G858" s="67"/>
      <c r="H858" s="67"/>
    </row>
    <row r="859">
      <c r="D859" s="67"/>
      <c r="E859" s="67"/>
      <c r="G859" s="67"/>
      <c r="H859" s="67"/>
    </row>
    <row r="860">
      <c r="D860" s="67"/>
      <c r="E860" s="67"/>
      <c r="G860" s="67"/>
      <c r="H860" s="67"/>
    </row>
    <row r="861">
      <c r="D861" s="67"/>
      <c r="E861" s="67"/>
      <c r="G861" s="67"/>
      <c r="H861" s="67"/>
    </row>
    <row r="862">
      <c r="D862" s="67"/>
      <c r="E862" s="67"/>
      <c r="G862" s="67"/>
      <c r="H862" s="67"/>
    </row>
    <row r="863">
      <c r="D863" s="67"/>
      <c r="E863" s="67"/>
      <c r="G863" s="67"/>
      <c r="H863" s="67"/>
    </row>
    <row r="864">
      <c r="D864" s="67"/>
      <c r="E864" s="67"/>
      <c r="G864" s="67"/>
      <c r="H864" s="67"/>
    </row>
    <row r="865">
      <c r="D865" s="67"/>
      <c r="E865" s="67"/>
      <c r="G865" s="67"/>
      <c r="H865" s="67"/>
    </row>
    <row r="866">
      <c r="D866" s="67"/>
      <c r="E866" s="67"/>
      <c r="G866" s="67"/>
      <c r="H866" s="67"/>
    </row>
    <row r="867">
      <c r="D867" s="67"/>
      <c r="E867" s="67"/>
      <c r="G867" s="67"/>
      <c r="H867" s="67"/>
    </row>
    <row r="868">
      <c r="D868" s="67"/>
      <c r="E868" s="67"/>
      <c r="G868" s="67"/>
      <c r="H868" s="67"/>
    </row>
    <row r="869">
      <c r="D869" s="67"/>
      <c r="E869" s="67"/>
      <c r="G869" s="67"/>
      <c r="H869" s="67"/>
    </row>
    <row r="870">
      <c r="D870" s="67"/>
      <c r="E870" s="67"/>
      <c r="G870" s="67"/>
      <c r="H870" s="67"/>
    </row>
    <row r="871">
      <c r="D871" s="67"/>
      <c r="E871" s="67"/>
      <c r="G871" s="67"/>
      <c r="H871" s="67"/>
    </row>
    <row r="872">
      <c r="D872" s="67"/>
      <c r="E872" s="67"/>
      <c r="G872" s="67"/>
      <c r="H872" s="67"/>
    </row>
    <row r="873">
      <c r="D873" s="67"/>
      <c r="E873" s="67"/>
      <c r="G873" s="67"/>
      <c r="H873" s="67"/>
    </row>
    <row r="874">
      <c r="D874" s="67"/>
      <c r="E874" s="67"/>
      <c r="G874" s="67"/>
      <c r="H874" s="67"/>
    </row>
    <row r="875">
      <c r="D875" s="67"/>
      <c r="E875" s="67"/>
      <c r="G875" s="67"/>
      <c r="H875" s="67"/>
    </row>
    <row r="876">
      <c r="D876" s="67"/>
      <c r="E876" s="67"/>
      <c r="G876" s="67"/>
      <c r="H876" s="67"/>
    </row>
    <row r="877">
      <c r="D877" s="67"/>
      <c r="E877" s="67"/>
      <c r="G877" s="67"/>
      <c r="H877" s="67"/>
    </row>
    <row r="878">
      <c r="D878" s="67"/>
      <c r="E878" s="67"/>
      <c r="G878" s="67"/>
      <c r="H878" s="67"/>
    </row>
    <row r="879">
      <c r="D879" s="67"/>
      <c r="E879" s="67"/>
      <c r="G879" s="67"/>
      <c r="H879" s="67"/>
    </row>
    <row r="880">
      <c r="D880" s="67"/>
      <c r="E880" s="67"/>
      <c r="G880" s="67"/>
      <c r="H880" s="67"/>
    </row>
    <row r="881">
      <c r="D881" s="67"/>
      <c r="E881" s="67"/>
      <c r="G881" s="67"/>
      <c r="H881" s="67"/>
    </row>
    <row r="882">
      <c r="D882" s="67"/>
      <c r="E882" s="67"/>
      <c r="G882" s="67"/>
      <c r="H882" s="67"/>
    </row>
    <row r="883">
      <c r="D883" s="67"/>
      <c r="E883" s="67"/>
      <c r="G883" s="67"/>
      <c r="H883" s="67"/>
    </row>
    <row r="884">
      <c r="D884" s="67"/>
      <c r="E884" s="67"/>
      <c r="G884" s="67"/>
      <c r="H884" s="67"/>
    </row>
    <row r="885">
      <c r="D885" s="67"/>
      <c r="E885" s="67"/>
      <c r="G885" s="67"/>
      <c r="H885" s="67"/>
    </row>
    <row r="886">
      <c r="D886" s="67"/>
      <c r="E886" s="67"/>
      <c r="G886" s="67"/>
      <c r="H886" s="67"/>
    </row>
    <row r="887">
      <c r="D887" s="67"/>
      <c r="E887" s="67"/>
      <c r="G887" s="67"/>
      <c r="H887" s="67"/>
    </row>
    <row r="888">
      <c r="D888" s="67"/>
      <c r="E888" s="67"/>
      <c r="G888" s="67"/>
      <c r="H888" s="67"/>
    </row>
    <row r="889">
      <c r="D889" s="67"/>
      <c r="E889" s="67"/>
      <c r="G889" s="67"/>
      <c r="H889" s="67"/>
    </row>
    <row r="890">
      <c r="D890" s="67"/>
      <c r="E890" s="67"/>
      <c r="G890" s="67"/>
      <c r="H890" s="67"/>
    </row>
    <row r="891">
      <c r="D891" s="67"/>
      <c r="E891" s="67"/>
      <c r="G891" s="67"/>
      <c r="H891" s="67"/>
    </row>
    <row r="892">
      <c r="D892" s="67"/>
      <c r="E892" s="67"/>
      <c r="G892" s="67"/>
      <c r="H892" s="67"/>
    </row>
    <row r="893">
      <c r="D893" s="67"/>
      <c r="E893" s="67"/>
      <c r="G893" s="67"/>
      <c r="H893" s="67"/>
    </row>
    <row r="894">
      <c r="D894" s="67"/>
      <c r="E894" s="67"/>
      <c r="G894" s="67"/>
      <c r="H894" s="67"/>
    </row>
    <row r="895">
      <c r="D895" s="67"/>
      <c r="E895" s="67"/>
      <c r="G895" s="67"/>
      <c r="H895" s="67"/>
    </row>
    <row r="896">
      <c r="D896" s="67"/>
      <c r="E896" s="67"/>
      <c r="G896" s="67"/>
      <c r="H896" s="67"/>
    </row>
    <row r="897">
      <c r="D897" s="67"/>
      <c r="E897" s="67"/>
      <c r="G897" s="67"/>
      <c r="H897" s="67"/>
    </row>
    <row r="898">
      <c r="D898" s="67"/>
      <c r="E898" s="67"/>
      <c r="G898" s="67"/>
      <c r="H898" s="67"/>
    </row>
    <row r="899">
      <c r="D899" s="67"/>
      <c r="E899" s="67"/>
      <c r="G899" s="67"/>
      <c r="H899" s="67"/>
    </row>
    <row r="900">
      <c r="D900" s="67"/>
      <c r="E900" s="67"/>
      <c r="G900" s="67"/>
      <c r="H900" s="67"/>
    </row>
    <row r="901">
      <c r="D901" s="67"/>
      <c r="E901" s="67"/>
      <c r="G901" s="67"/>
      <c r="H901" s="67"/>
    </row>
    <row r="902">
      <c r="D902" s="67"/>
      <c r="E902" s="67"/>
      <c r="G902" s="67"/>
      <c r="H902" s="67"/>
    </row>
    <row r="903">
      <c r="D903" s="67"/>
      <c r="E903" s="67"/>
      <c r="G903" s="67"/>
      <c r="H903" s="67"/>
    </row>
    <row r="904">
      <c r="D904" s="67"/>
      <c r="E904" s="67"/>
      <c r="G904" s="67"/>
      <c r="H904" s="67"/>
    </row>
    <row r="905">
      <c r="D905" s="67"/>
      <c r="E905" s="67"/>
      <c r="G905" s="67"/>
      <c r="H905" s="67"/>
    </row>
    <row r="906">
      <c r="D906" s="67"/>
      <c r="E906" s="67"/>
      <c r="G906" s="67"/>
      <c r="H906" s="67"/>
    </row>
    <row r="907">
      <c r="D907" s="67"/>
      <c r="E907" s="67"/>
      <c r="G907" s="67"/>
      <c r="H907" s="67"/>
    </row>
    <row r="908">
      <c r="D908" s="67"/>
      <c r="E908" s="67"/>
      <c r="G908" s="67"/>
      <c r="H908" s="67"/>
    </row>
    <row r="909">
      <c r="D909" s="67"/>
      <c r="E909" s="67"/>
      <c r="G909" s="67"/>
      <c r="H909" s="67"/>
    </row>
    <row r="910">
      <c r="D910" s="67"/>
      <c r="E910" s="67"/>
      <c r="G910" s="67"/>
      <c r="H910" s="67"/>
    </row>
    <row r="911">
      <c r="D911" s="67"/>
      <c r="E911" s="67"/>
      <c r="G911" s="67"/>
      <c r="H911" s="67"/>
    </row>
    <row r="912">
      <c r="D912" s="67"/>
      <c r="E912" s="67"/>
      <c r="G912" s="67"/>
      <c r="H912" s="67"/>
    </row>
    <row r="913">
      <c r="D913" s="67"/>
      <c r="E913" s="67"/>
      <c r="G913" s="67"/>
      <c r="H913" s="67"/>
    </row>
    <row r="914">
      <c r="D914" s="67"/>
      <c r="E914" s="67"/>
      <c r="G914" s="67"/>
      <c r="H914" s="67"/>
    </row>
    <row r="915">
      <c r="D915" s="67"/>
      <c r="E915" s="67"/>
      <c r="G915" s="67"/>
      <c r="H915" s="67"/>
    </row>
    <row r="916">
      <c r="D916" s="67"/>
      <c r="E916" s="67"/>
      <c r="G916" s="67"/>
      <c r="H916" s="67"/>
    </row>
    <row r="917">
      <c r="D917" s="67"/>
      <c r="E917" s="67"/>
      <c r="G917" s="67"/>
      <c r="H917" s="67"/>
    </row>
    <row r="918">
      <c r="D918" s="67"/>
      <c r="E918" s="67"/>
      <c r="G918" s="67"/>
      <c r="H918" s="67"/>
    </row>
    <row r="919">
      <c r="D919" s="67"/>
      <c r="E919" s="67"/>
      <c r="G919" s="67"/>
      <c r="H919" s="67"/>
    </row>
    <row r="920">
      <c r="D920" s="67"/>
      <c r="E920" s="67"/>
      <c r="G920" s="67"/>
      <c r="H920" s="67"/>
    </row>
    <row r="921">
      <c r="D921" s="67"/>
      <c r="E921" s="67"/>
      <c r="G921" s="67"/>
      <c r="H921" s="67"/>
    </row>
    <row r="922">
      <c r="D922" s="67"/>
      <c r="E922" s="67"/>
      <c r="G922" s="67"/>
      <c r="H922" s="67"/>
    </row>
    <row r="923">
      <c r="D923" s="67"/>
      <c r="E923" s="67"/>
      <c r="G923" s="67"/>
      <c r="H923" s="67"/>
    </row>
    <row r="924">
      <c r="D924" s="67"/>
      <c r="E924" s="67"/>
      <c r="G924" s="67"/>
      <c r="H924" s="67"/>
    </row>
    <row r="925">
      <c r="D925" s="67"/>
      <c r="E925" s="67"/>
      <c r="G925" s="67"/>
      <c r="H925" s="67"/>
    </row>
    <row r="926">
      <c r="D926" s="67"/>
      <c r="E926" s="67"/>
      <c r="G926" s="67"/>
      <c r="H926" s="67"/>
    </row>
    <row r="927">
      <c r="D927" s="67"/>
      <c r="E927" s="67"/>
      <c r="G927" s="67"/>
      <c r="H927" s="67"/>
    </row>
    <row r="928">
      <c r="D928" s="67"/>
      <c r="E928" s="67"/>
      <c r="G928" s="67"/>
      <c r="H928" s="67"/>
    </row>
    <row r="929">
      <c r="D929" s="67"/>
      <c r="E929" s="67"/>
      <c r="G929" s="67"/>
      <c r="H929" s="67"/>
    </row>
    <row r="930">
      <c r="D930" s="67"/>
      <c r="E930" s="67"/>
      <c r="G930" s="67"/>
      <c r="H930" s="67"/>
    </row>
    <row r="931">
      <c r="D931" s="67"/>
      <c r="E931" s="67"/>
      <c r="G931" s="67"/>
      <c r="H931" s="67"/>
    </row>
    <row r="932">
      <c r="D932" s="67"/>
      <c r="E932" s="67"/>
      <c r="G932" s="67"/>
      <c r="H932" s="67"/>
    </row>
    <row r="933">
      <c r="D933" s="67"/>
      <c r="E933" s="67"/>
      <c r="G933" s="67"/>
      <c r="H933" s="67"/>
    </row>
    <row r="934">
      <c r="D934" s="67"/>
      <c r="E934" s="67"/>
      <c r="G934" s="67"/>
      <c r="H934" s="67"/>
    </row>
    <row r="935">
      <c r="D935" s="67"/>
      <c r="E935" s="67"/>
      <c r="G935" s="67"/>
      <c r="H935" s="67"/>
    </row>
    <row r="936">
      <c r="D936" s="67"/>
      <c r="E936" s="67"/>
      <c r="G936" s="67"/>
      <c r="H936" s="67"/>
    </row>
    <row r="937">
      <c r="D937" s="67"/>
      <c r="E937" s="67"/>
      <c r="G937" s="67"/>
      <c r="H937" s="67"/>
    </row>
    <row r="938">
      <c r="D938" s="67"/>
      <c r="E938" s="67"/>
      <c r="G938" s="67"/>
      <c r="H938" s="67"/>
    </row>
    <row r="939">
      <c r="D939" s="67"/>
      <c r="E939" s="67"/>
      <c r="G939" s="67"/>
      <c r="H939" s="67"/>
    </row>
    <row r="940">
      <c r="D940" s="67"/>
      <c r="E940" s="67"/>
      <c r="G940" s="67"/>
      <c r="H940" s="67"/>
    </row>
    <row r="941">
      <c r="D941" s="67"/>
      <c r="E941" s="67"/>
      <c r="G941" s="67"/>
      <c r="H941" s="67"/>
    </row>
    <row r="942">
      <c r="D942" s="67"/>
      <c r="E942" s="67"/>
      <c r="G942" s="67"/>
      <c r="H942" s="67"/>
    </row>
    <row r="943">
      <c r="D943" s="67"/>
      <c r="E943" s="67"/>
      <c r="G943" s="67"/>
      <c r="H943" s="67"/>
    </row>
    <row r="944">
      <c r="D944" s="67"/>
      <c r="E944" s="67"/>
      <c r="G944" s="67"/>
      <c r="H944" s="67"/>
    </row>
    <row r="945">
      <c r="D945" s="67"/>
      <c r="E945" s="67"/>
      <c r="G945" s="67"/>
      <c r="H945" s="67"/>
    </row>
    <row r="946">
      <c r="D946" s="67"/>
      <c r="E946" s="67"/>
      <c r="G946" s="67"/>
      <c r="H946" s="67"/>
    </row>
    <row r="947">
      <c r="D947" s="67"/>
      <c r="E947" s="67"/>
      <c r="G947" s="67"/>
      <c r="H947" s="67"/>
    </row>
    <row r="948">
      <c r="D948" s="67"/>
      <c r="E948" s="67"/>
      <c r="G948" s="67"/>
      <c r="H948" s="67"/>
    </row>
    <row r="949">
      <c r="D949" s="67"/>
      <c r="E949" s="67"/>
      <c r="G949" s="67"/>
      <c r="H949" s="67"/>
    </row>
    <row r="950">
      <c r="D950" s="67"/>
      <c r="E950" s="67"/>
      <c r="G950" s="67"/>
      <c r="H950" s="67"/>
    </row>
    <row r="951">
      <c r="D951" s="67"/>
      <c r="E951" s="67"/>
      <c r="G951" s="67"/>
      <c r="H951" s="67"/>
    </row>
    <row r="952">
      <c r="D952" s="67"/>
      <c r="E952" s="67"/>
      <c r="G952" s="67"/>
      <c r="H952" s="67"/>
    </row>
    <row r="953">
      <c r="D953" s="67"/>
      <c r="E953" s="67"/>
      <c r="G953" s="67"/>
      <c r="H953" s="67"/>
    </row>
    <row r="954">
      <c r="D954" s="67"/>
      <c r="E954" s="67"/>
      <c r="G954" s="67"/>
      <c r="H954" s="67"/>
    </row>
    <row r="955">
      <c r="D955" s="67"/>
      <c r="E955" s="67"/>
      <c r="G955" s="67"/>
      <c r="H955" s="67"/>
    </row>
    <row r="956">
      <c r="D956" s="67"/>
      <c r="E956" s="67"/>
      <c r="G956" s="67"/>
      <c r="H956" s="67"/>
    </row>
    <row r="957">
      <c r="D957" s="67"/>
      <c r="E957" s="67"/>
      <c r="G957" s="67"/>
      <c r="H957" s="67"/>
    </row>
    <row r="958">
      <c r="D958" s="67"/>
      <c r="E958" s="67"/>
      <c r="G958" s="67"/>
      <c r="H958" s="67"/>
    </row>
    <row r="959">
      <c r="D959" s="67"/>
      <c r="E959" s="67"/>
      <c r="G959" s="67"/>
      <c r="H959" s="67"/>
    </row>
    <row r="960">
      <c r="D960" s="67"/>
      <c r="E960" s="67"/>
      <c r="G960" s="67"/>
      <c r="H960" s="67"/>
    </row>
    <row r="961">
      <c r="D961" s="67"/>
      <c r="E961" s="67"/>
      <c r="G961" s="67"/>
      <c r="H961" s="67"/>
    </row>
    <row r="962">
      <c r="D962" s="67"/>
      <c r="E962" s="67"/>
      <c r="G962" s="67"/>
      <c r="H962" s="67"/>
    </row>
    <row r="963">
      <c r="D963" s="67"/>
      <c r="E963" s="67"/>
      <c r="G963" s="67"/>
      <c r="H963" s="67"/>
    </row>
    <row r="964">
      <c r="D964" s="67"/>
      <c r="E964" s="67"/>
      <c r="G964" s="67"/>
      <c r="H964" s="67"/>
    </row>
    <row r="965">
      <c r="D965" s="67"/>
      <c r="E965" s="67"/>
      <c r="G965" s="67"/>
      <c r="H965" s="67"/>
    </row>
    <row r="966">
      <c r="D966" s="67"/>
      <c r="E966" s="67"/>
      <c r="G966" s="67"/>
      <c r="H966" s="67"/>
    </row>
    <row r="967">
      <c r="D967" s="67"/>
      <c r="E967" s="67"/>
      <c r="G967" s="67"/>
      <c r="H967" s="67"/>
    </row>
    <row r="968">
      <c r="D968" s="67"/>
      <c r="E968" s="67"/>
      <c r="G968" s="67"/>
      <c r="H968" s="67"/>
    </row>
    <row r="969">
      <c r="D969" s="67"/>
      <c r="E969" s="67"/>
      <c r="G969" s="67"/>
      <c r="H969" s="67"/>
    </row>
    <row r="970">
      <c r="D970" s="67"/>
      <c r="E970" s="67"/>
      <c r="G970" s="67"/>
      <c r="H970" s="67"/>
    </row>
    <row r="971">
      <c r="D971" s="67"/>
      <c r="E971" s="67"/>
      <c r="G971" s="67"/>
      <c r="H971" s="67"/>
    </row>
    <row r="972">
      <c r="D972" s="67"/>
      <c r="E972" s="67"/>
      <c r="G972" s="67"/>
      <c r="H972" s="67"/>
    </row>
    <row r="973">
      <c r="D973" s="67"/>
      <c r="E973" s="67"/>
      <c r="G973" s="67"/>
      <c r="H973" s="67"/>
    </row>
    <row r="974">
      <c r="D974" s="67"/>
      <c r="E974" s="67"/>
      <c r="G974" s="67"/>
      <c r="H974" s="67"/>
    </row>
    <row r="975">
      <c r="D975" s="67"/>
      <c r="E975" s="67"/>
      <c r="G975" s="67"/>
      <c r="H975" s="67"/>
    </row>
    <row r="976">
      <c r="D976" s="67"/>
      <c r="E976" s="67"/>
      <c r="G976" s="67"/>
      <c r="H976" s="67"/>
    </row>
    <row r="977">
      <c r="D977" s="67"/>
      <c r="E977" s="67"/>
      <c r="G977" s="67"/>
      <c r="H977" s="67"/>
    </row>
    <row r="978">
      <c r="D978" s="67"/>
      <c r="E978" s="67"/>
      <c r="G978" s="67"/>
      <c r="H978" s="67"/>
    </row>
    <row r="979">
      <c r="D979" s="67"/>
      <c r="E979" s="67"/>
      <c r="G979" s="67"/>
      <c r="H979" s="67"/>
    </row>
    <row r="980">
      <c r="D980" s="67"/>
      <c r="E980" s="67"/>
      <c r="G980" s="67"/>
      <c r="H980" s="67"/>
    </row>
    <row r="981">
      <c r="D981" s="67"/>
      <c r="E981" s="67"/>
      <c r="G981" s="67"/>
      <c r="H981" s="67"/>
    </row>
    <row r="982">
      <c r="D982" s="67"/>
      <c r="E982" s="67"/>
      <c r="G982" s="67"/>
      <c r="H982" s="67"/>
    </row>
    <row r="983">
      <c r="D983" s="67"/>
      <c r="E983" s="67"/>
      <c r="G983" s="67"/>
      <c r="H983" s="67"/>
    </row>
    <row r="984">
      <c r="D984" s="67"/>
      <c r="E984" s="67"/>
      <c r="G984" s="67"/>
      <c r="H984" s="67"/>
    </row>
    <row r="985">
      <c r="D985" s="67"/>
      <c r="E985" s="67"/>
      <c r="G985" s="67"/>
      <c r="H985" s="67"/>
    </row>
    <row r="986">
      <c r="D986" s="67"/>
      <c r="E986" s="67"/>
      <c r="G986" s="67"/>
      <c r="H986" s="67"/>
    </row>
    <row r="987">
      <c r="D987" s="67"/>
      <c r="E987" s="67"/>
      <c r="G987" s="67"/>
      <c r="H987" s="67"/>
    </row>
    <row r="988">
      <c r="D988" s="67"/>
      <c r="E988" s="67"/>
      <c r="G988" s="67"/>
      <c r="H988" s="67"/>
    </row>
    <row r="989">
      <c r="D989" s="67"/>
      <c r="E989" s="67"/>
      <c r="G989" s="67"/>
      <c r="H989" s="67"/>
    </row>
    <row r="990">
      <c r="D990" s="67"/>
      <c r="E990" s="67"/>
      <c r="G990" s="67"/>
      <c r="H990" s="67"/>
    </row>
    <row r="991">
      <c r="D991" s="67"/>
      <c r="E991" s="67"/>
      <c r="G991" s="67"/>
      <c r="H991" s="67"/>
    </row>
    <row r="992">
      <c r="D992" s="67"/>
      <c r="E992" s="67"/>
      <c r="G992" s="67"/>
      <c r="H992" s="67"/>
    </row>
    <row r="993">
      <c r="D993" s="67"/>
      <c r="E993" s="67"/>
      <c r="G993" s="67"/>
      <c r="H993" s="67"/>
    </row>
    <row r="994">
      <c r="D994" s="67"/>
      <c r="E994" s="67"/>
      <c r="G994" s="67"/>
      <c r="H994" s="67"/>
    </row>
    <row r="995">
      <c r="D995" s="67"/>
      <c r="E995" s="67"/>
      <c r="G995" s="67"/>
      <c r="H995" s="67"/>
    </row>
    <row r="996">
      <c r="D996" s="67"/>
      <c r="E996" s="67"/>
      <c r="G996" s="67"/>
      <c r="H996" s="67"/>
    </row>
    <row r="997">
      <c r="D997" s="67"/>
      <c r="E997" s="67"/>
      <c r="G997" s="67"/>
      <c r="H997" s="67"/>
    </row>
    <row r="998">
      <c r="D998" s="67"/>
      <c r="E998" s="67"/>
      <c r="G998" s="67"/>
      <c r="H998" s="67"/>
    </row>
    <row r="999">
      <c r="D999" s="67"/>
      <c r="E999" s="67"/>
      <c r="G999" s="67"/>
      <c r="H999" s="67"/>
    </row>
    <row r="1000">
      <c r="D1000" s="67"/>
      <c r="E1000" s="67"/>
      <c r="G1000" s="67"/>
      <c r="H1000" s="67"/>
    </row>
  </sheetData>
  <autoFilter ref="$A$1:$I$1000">
    <filterColumn colId="5">
      <filters blank="1">
        <filter val="Mejorable"/>
        <filter val="Mal"/>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76.25"/>
    <col customWidth="1" min="5" max="5" width="20.13"/>
  </cols>
  <sheetData>
    <row r="1">
      <c r="A1" s="69" t="s">
        <v>422</v>
      </c>
      <c r="B1" s="69" t="s">
        <v>423</v>
      </c>
      <c r="C1" s="70"/>
      <c r="D1" s="70"/>
      <c r="E1" s="70"/>
      <c r="F1" s="70"/>
      <c r="G1" s="70"/>
      <c r="H1" s="70"/>
      <c r="I1" s="70"/>
      <c r="L1" s="5"/>
      <c r="M1" s="5"/>
      <c r="N1" s="5"/>
      <c r="O1" s="5"/>
      <c r="P1" s="5"/>
      <c r="Q1" s="5"/>
      <c r="R1" s="5"/>
      <c r="S1" s="5"/>
      <c r="T1" s="5"/>
      <c r="U1" s="5"/>
      <c r="V1" s="5"/>
      <c r="W1" s="5"/>
      <c r="X1" s="5"/>
      <c r="Y1" s="5"/>
      <c r="Z1" s="66"/>
      <c r="AA1" s="66"/>
    </row>
    <row r="2">
      <c r="A2" s="54" t="s">
        <v>424</v>
      </c>
      <c r="B2" s="54" t="s">
        <v>425</v>
      </c>
      <c r="C2" s="70"/>
      <c r="D2" s="70"/>
      <c r="E2" s="70"/>
      <c r="F2" s="70"/>
      <c r="G2" s="70"/>
      <c r="H2" s="70"/>
      <c r="I2" s="70"/>
    </row>
    <row r="3">
      <c r="A3" s="54" t="s">
        <v>426</v>
      </c>
      <c r="B3" s="54" t="s">
        <v>427</v>
      </c>
      <c r="C3" s="70"/>
      <c r="D3" s="70"/>
      <c r="E3" s="71" t="s">
        <v>428</v>
      </c>
      <c r="F3" s="71" t="s">
        <v>429</v>
      </c>
      <c r="G3" s="71" t="s">
        <v>430</v>
      </c>
      <c r="H3" s="70"/>
      <c r="I3" s="70"/>
    </row>
    <row r="4">
      <c r="A4" s="54" t="s">
        <v>431</v>
      </c>
      <c r="B4" s="54" t="s">
        <v>432</v>
      </c>
      <c r="C4" s="70"/>
      <c r="D4" s="70"/>
      <c r="E4" s="72" t="s">
        <v>433</v>
      </c>
      <c r="F4" s="72" t="s">
        <v>434</v>
      </c>
      <c r="G4" s="73">
        <v>6.70553417E8</v>
      </c>
      <c r="H4" s="70"/>
      <c r="I4" s="70"/>
    </row>
    <row r="5">
      <c r="A5" s="54" t="s">
        <v>435</v>
      </c>
      <c r="B5" s="54" t="s">
        <v>436</v>
      </c>
      <c r="C5" s="70"/>
      <c r="D5" s="70"/>
      <c r="E5" s="72" t="s">
        <v>437</v>
      </c>
      <c r="F5" s="72" t="s">
        <v>434</v>
      </c>
      <c r="G5" s="72">
        <v>6.72224323E8</v>
      </c>
      <c r="H5" s="70"/>
      <c r="I5" s="70"/>
    </row>
    <row r="6">
      <c r="E6" s="54" t="s">
        <v>438</v>
      </c>
      <c r="F6" s="72" t="s">
        <v>434</v>
      </c>
      <c r="G6" s="73">
        <v>6.08013023E8</v>
      </c>
    </row>
    <row r="7">
      <c r="E7" s="54" t="s">
        <v>439</v>
      </c>
      <c r="F7" s="72" t="s">
        <v>434</v>
      </c>
      <c r="G7" s="54">
        <v>6.20823514E8</v>
      </c>
    </row>
    <row r="8">
      <c r="E8" s="54" t="s">
        <v>440</v>
      </c>
      <c r="F8" s="72" t="s">
        <v>434</v>
      </c>
      <c r="G8" s="54">
        <v>6.08023519E8</v>
      </c>
    </row>
    <row r="9">
      <c r="E9" s="54" t="s">
        <v>441</v>
      </c>
      <c r="F9" s="72" t="s">
        <v>434</v>
      </c>
      <c r="G9" s="54">
        <v>6.06707816E8</v>
      </c>
    </row>
  </sheetData>
  <drawing r:id="rId1"/>
  <tableParts count="2">
    <tablePart r:id="rId4"/>
    <tablePart r:id="rId5"/>
  </tableParts>
</worksheet>
</file>